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zerland-my.sharepoint.com/personal/assia_driss_syzgroup_com1/Documents/Documents/Focus notes/research/Advisory/portfolio proposal skill/"/>
    </mc:Choice>
  </mc:AlternateContent>
  <xr:revisionPtr revIDLastSave="0" documentId="8_{FB7F6F27-398A-48F3-ABF4-35C3ED91A7A5}" xr6:coauthVersionLast="47" xr6:coauthVersionMax="47" xr10:uidLastSave="{00000000-0000-0000-0000-000000000000}"/>
  <bookViews>
    <workbookView xWindow="30612" yWindow="-384" windowWidth="30936" windowHeight="16776" xr2:uid="{F6F2424E-F6FF-4BA1-8BEB-11D51AE96A53}"/>
  </bookViews>
  <sheets>
    <sheet name="Portfolio" sheetId="1" r:id="rId1"/>
    <sheet name="Fixed Income" sheetId="3" r:id="rId2"/>
  </sheets>
  <definedNames>
    <definedName name="_UNDO_UPS_" localSheetId="1" hidden="1">'Fixed Income'!$1:$1048576</definedName>
    <definedName name="_UNDO_UPS_" hidden="1">#REF!</definedName>
    <definedName name="_UNDO_UPS_SEL_" localSheetId="1" hidden="1">'Fixed Income'!$1:$1048576</definedName>
    <definedName name="_UNDO_UPS_SEL_" hidden="1">#REF!</definedName>
    <definedName name="_UNDO31X31X_" localSheetId="1" hidden="1">'Fixed Income'!$1:$1048576</definedName>
    <definedName name="_UNDO31X31X_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3" l="1"/>
  <c r="E10" i="3"/>
</calcChain>
</file>

<file path=xl/sharedStrings.xml><?xml version="1.0" encoding="utf-8"?>
<sst xmlns="http://schemas.openxmlformats.org/spreadsheetml/2006/main" count="525" uniqueCount="307">
  <si>
    <t>Breakdown General (Weighting)</t>
  </si>
  <si>
    <t>Cash</t>
  </si>
  <si>
    <t>STerm</t>
  </si>
  <si>
    <t>Bonds</t>
  </si>
  <si>
    <t>Equit</t>
  </si>
  <si>
    <t>StrPr</t>
  </si>
  <si>
    <t>PA</t>
  </si>
  <si>
    <t>Comm</t>
  </si>
  <si>
    <t>Other</t>
  </si>
  <si>
    <t>Total</t>
  </si>
  <si>
    <t>EUR</t>
  </si>
  <si>
    <t>USD</t>
  </si>
  <si>
    <t>CHF</t>
  </si>
  <si>
    <t>GBP</t>
  </si>
  <si>
    <t>CAD</t>
  </si>
  <si>
    <t>Total : 21'300'578 EUR Non-zero-balance positions - Segment Total (73)</t>
  </si>
  <si>
    <t>Last operation date</t>
  </si>
  <si>
    <t>ISIN code</t>
  </si>
  <si>
    <t>Balance</t>
  </si>
  <si>
    <t>Description</t>
  </si>
  <si>
    <t>Coupon (%)</t>
  </si>
  <si>
    <t xml:space="preserve">Valuation + accr. interest (EUR) </t>
  </si>
  <si>
    <t>Valuation + accr. interest (in QC)</t>
  </si>
  <si>
    <t>Yield (%)</t>
  </si>
  <si>
    <t>Life to final Maturity</t>
  </si>
  <si>
    <t>Composite Rating</t>
  </si>
  <si>
    <t>Currency</t>
  </si>
  <si>
    <t>Cost Price (QC) (holding per.)</t>
  </si>
  <si>
    <t>Price (QC)</t>
  </si>
  <si>
    <t>Duration</t>
  </si>
  <si>
    <t>MCR (QC, %) (holding per.)</t>
  </si>
  <si>
    <t>Security Perf.  (EUR, %)</t>
  </si>
  <si>
    <t>TW Perf. (QC, %)</t>
  </si>
  <si>
    <t>TW Perf. (EUR, %)</t>
  </si>
  <si>
    <t>Contract close date</t>
  </si>
  <si>
    <t xml:space="preserve">Weight (%) </t>
  </si>
  <si>
    <t>Actual pledge rate (%)</t>
  </si>
  <si>
    <t xml:space="preserve">Unrealized P / L Total  (BC) (holding per.) </t>
  </si>
  <si>
    <t>PRC</t>
  </si>
  <si>
    <t>Geographical breakdown</t>
  </si>
  <si>
    <t>Currency Effect MW weighted (%)</t>
  </si>
  <si>
    <t>Risk contr. base 100 (%)</t>
  </si>
  <si>
    <t>Total Cost Price (BC) (holding per.)</t>
  </si>
  <si>
    <t>INCOME TO BE RECEIVED IN GBP</t>
  </si>
  <si>
    <t>United Kingdom</t>
  </si>
  <si>
    <t>CURRENT ACCOUNT IN XAG</t>
  </si>
  <si>
    <t>XAG</t>
  </si>
  <si>
    <t>Stateless</t>
  </si>
  <si>
    <t>CURRENT ACCOUNT IN XPT</t>
  </si>
  <si>
    <t>XPT</t>
  </si>
  <si>
    <t>Several countries</t>
  </si>
  <si>
    <t>CURRENT ACCOUNT IN SEK</t>
  </si>
  <si>
    <t>SEK</t>
  </si>
  <si>
    <t>Sweden</t>
  </si>
  <si>
    <t>CURRENT ACCOUNT IN EUR</t>
  </si>
  <si>
    <t>European Union</t>
  </si>
  <si>
    <t>CURRENT ACCOUNT IN GBP</t>
  </si>
  <si>
    <t>CURRENT ACCOUNT IN USD</t>
  </si>
  <si>
    <t>United States of America</t>
  </si>
  <si>
    <t>CURRENT ACCOUNT IN CAD</t>
  </si>
  <si>
    <t>Canada</t>
  </si>
  <si>
    <t>CURRENT ACCOUNT IN CHF</t>
  </si>
  <si>
    <t>Switzerland</t>
  </si>
  <si>
    <t>Short-term instruments</t>
  </si>
  <si>
    <t>1.75% Fid. On Call 48 Hrs Société Générale, Paris On Call No. 20843</t>
  </si>
  <si>
    <t>3.35% Fid. On Call 48 Hrs Natixis, Paris On Call No. 96289</t>
  </si>
  <si>
    <t>07.04.2026</t>
  </si>
  <si>
    <t>CH0103254758</t>
  </si>
  <si>
    <t>SYZ AM(CH) 1 LIQUID MGT D</t>
  </si>
  <si>
    <t>Not Rated</t>
  </si>
  <si>
    <t>Miscellaneous</t>
  </si>
  <si>
    <t>2.53% Fid. 17.08.2026 - 19.10.2026 QATAR NATIONAL BANK - DOHA No. 263303</t>
  </si>
  <si>
    <t>19.10.2026</t>
  </si>
  <si>
    <t>09.04.2026</t>
  </si>
  <si>
    <t>LU0840158819</t>
  </si>
  <si>
    <t>STORM II BOND RC EUR</t>
  </si>
  <si>
    <t>25.06.2026</t>
  </si>
  <si>
    <t>IE00BD5CTX77</t>
  </si>
  <si>
    <t>BNY MELLON S/D H/Y H HDG</t>
  </si>
  <si>
    <t>08.11.2021</t>
  </si>
  <si>
    <t>US88167AAP66</t>
  </si>
  <si>
    <t>4 3/4 TEVA PHARMA MAY27  09.05.2027</t>
  </si>
  <si>
    <t>BB+</t>
  </si>
  <si>
    <t>09.05.2027</t>
  </si>
  <si>
    <t>Netherlands</t>
  </si>
  <si>
    <t>15.02.2024</t>
  </si>
  <si>
    <t>XS2647371843</t>
  </si>
  <si>
    <t>4.75% PKN ORLEN JUL30  13.07.2030</t>
  </si>
  <si>
    <t>BBB+</t>
  </si>
  <si>
    <t>13.07.2030</t>
  </si>
  <si>
    <t>Poland</t>
  </si>
  <si>
    <t>07.11.2025</t>
  </si>
  <si>
    <t>US718172DY22</t>
  </si>
  <si>
    <t>4% PHILIP MORRIS OCT30  29.10.2030</t>
  </si>
  <si>
    <t>A-</t>
  </si>
  <si>
    <t>29.10.2030</t>
  </si>
  <si>
    <t>XS3222746375</t>
  </si>
  <si>
    <t>3.5% VONOVIA NOV32  12.11.2032</t>
  </si>
  <si>
    <t>12.11.2032</t>
  </si>
  <si>
    <t>Germany</t>
  </si>
  <si>
    <t>US30303MAC64</t>
  </si>
  <si>
    <t>4.6% META PLATFORMS NOV32  15.11.2032</t>
  </si>
  <si>
    <t>AA-</t>
  </si>
  <si>
    <t>15.11.2032</t>
  </si>
  <si>
    <t>US023135CR56</t>
  </si>
  <si>
    <t>4.7% AMAZON DEC32  01.12.2032</t>
  </si>
  <si>
    <t>01.12.2032</t>
  </si>
  <si>
    <t>28.10.2025</t>
  </si>
  <si>
    <t>XS2983840518</t>
  </si>
  <si>
    <t>3.5% GOLDMAN SACHS JAN33  23.01.2033</t>
  </si>
  <si>
    <t>23.01.2033</t>
  </si>
  <si>
    <t>US38141GZM94</t>
  </si>
  <si>
    <t>3.102% GOLDMAN FLR FEB33  24.02.2033</t>
  </si>
  <si>
    <t>24.02.2033</t>
  </si>
  <si>
    <t>27.04.2026</t>
  </si>
  <si>
    <t>CH0414256021</t>
  </si>
  <si>
    <t>SYZ EM BONDS CERTIFICATE</t>
  </si>
  <si>
    <t>05.06.2049</t>
  </si>
  <si>
    <t>Equities</t>
  </si>
  <si>
    <t>05.11.2021</t>
  </si>
  <si>
    <t>DE0008404005</t>
  </si>
  <si>
    <t>ALLIANZ (NOM)</t>
  </si>
  <si>
    <t>14.01.2022</t>
  </si>
  <si>
    <t>US0846707026</t>
  </si>
  <si>
    <t>BERKSHIRE HATHAWAY B</t>
  </si>
  <si>
    <t>IE000YYE6WK5</t>
  </si>
  <si>
    <t>VANECK VECTORS DEF A ETF</t>
  </si>
  <si>
    <t>17.02.2026</t>
  </si>
  <si>
    <t>FR0014004L86</t>
  </si>
  <si>
    <t>DASSAULT AVIATION SA</t>
  </si>
  <si>
    <t>France</t>
  </si>
  <si>
    <t>CH0008742519</t>
  </si>
  <si>
    <t>SWISSCOM (NOM)</t>
  </si>
  <si>
    <t>14.04.2025</t>
  </si>
  <si>
    <t>CH0011075394</t>
  </si>
  <si>
    <t>ZURICH INSURANCE GRP(NOM)</t>
  </si>
  <si>
    <t>17.03.2025</t>
  </si>
  <si>
    <t>NL0000235190</t>
  </si>
  <si>
    <t>AIRBUS</t>
  </si>
  <si>
    <t>02.06.2025</t>
  </si>
  <si>
    <t>LU0127786431</t>
  </si>
  <si>
    <t>GOLDMAN EU HIGH DIV P CAP</t>
  </si>
  <si>
    <t>Misc.Europe</t>
  </si>
  <si>
    <t>12.03.2025</t>
  </si>
  <si>
    <t>LU0075056555</t>
  </si>
  <si>
    <t>BRGF WORLD MINING(REG)A2</t>
  </si>
  <si>
    <t>GB0002634946</t>
  </si>
  <si>
    <t>BAE SYSTEMS</t>
  </si>
  <si>
    <t>28.11.2025</t>
  </si>
  <si>
    <t>US92189F1066</t>
  </si>
  <si>
    <t>VANECK GOLD MINERS ETF</t>
  </si>
  <si>
    <t>24.09.2025</t>
  </si>
  <si>
    <t>IT0003856405</t>
  </si>
  <si>
    <t>LEONARDO (RAGGR)</t>
  </si>
  <si>
    <t>Italy</t>
  </si>
  <si>
    <t>SE0021921269</t>
  </si>
  <si>
    <t>SAAB AB B</t>
  </si>
  <si>
    <t>DE0008402215</t>
  </si>
  <si>
    <t>HANNOVER RUECK (NOM)</t>
  </si>
  <si>
    <t>18.02.2026</t>
  </si>
  <si>
    <t>CH0017043958</t>
  </si>
  <si>
    <t>UBS(CH) EQ-SWISS INC CHFP</t>
  </si>
  <si>
    <t>08.04.2026</t>
  </si>
  <si>
    <t>IE00BDBBPZ26</t>
  </si>
  <si>
    <t>FTGF CB INF VAL X DIST Q</t>
  </si>
  <si>
    <t>LU3269411313</t>
  </si>
  <si>
    <t>DECALIA AEGIS DEFENSE A1</t>
  </si>
  <si>
    <t>IE00BG0J4C88</t>
  </si>
  <si>
    <t>ISHS DIGITAL SECURITY ETF</t>
  </si>
  <si>
    <t>IE00BF20LF40</t>
  </si>
  <si>
    <t>ISHS VI MSCI EUROP MC ETF</t>
  </si>
  <si>
    <t>IE000KHX9DX6</t>
  </si>
  <si>
    <t>WISD STRAT M&amp;R EARTHS ETF</t>
  </si>
  <si>
    <t>22.06.2026</t>
  </si>
  <si>
    <t>LU0234576444</t>
  </si>
  <si>
    <t>G SACHS US SMALL CAP CORE</t>
  </si>
  <si>
    <t>Various countries</t>
  </si>
  <si>
    <t>GB0008706128</t>
  </si>
  <si>
    <t>LLOYDS BANKING GROUP</t>
  </si>
  <si>
    <t>29.05.2026</t>
  </si>
  <si>
    <t>XS3315944077</t>
  </si>
  <si>
    <t>SG CHINA NEXT WINNERS  01.06.2099</t>
  </si>
  <si>
    <t>01.06.2099</t>
  </si>
  <si>
    <t>Luxembourg</t>
  </si>
  <si>
    <t>Structured products</t>
  </si>
  <si>
    <t>20.07.2026</t>
  </si>
  <si>
    <t>CH1587815338</t>
  </si>
  <si>
    <t>8% DCI-XAGUSD-48.206 UBS  24.08.2026</t>
  </si>
  <si>
    <t>24.08.2026</t>
  </si>
  <si>
    <t>Jersey</t>
  </si>
  <si>
    <t>17.12.2025</t>
  </si>
  <si>
    <t>CH1511301322</t>
  </si>
  <si>
    <t>RAF 9.45% GOOGL-AMZN-MSFT  24.12.2026</t>
  </si>
  <si>
    <t>24.12.2026</t>
  </si>
  <si>
    <t>01.06.2026</t>
  </si>
  <si>
    <t>XS3164745351</t>
  </si>
  <si>
    <t>CITIBTB11.3%ABBN-GALD-UBS  15.06.2027</t>
  </si>
  <si>
    <t>15.06.2027</t>
  </si>
  <si>
    <t>03.11.2025</t>
  </si>
  <si>
    <t>XS3180169339</t>
  </si>
  <si>
    <t>BNP CPN 8% ENI-TTE-CVX  10.11.2027</t>
  </si>
  <si>
    <t>10.11.2027</t>
  </si>
  <si>
    <t>09.12.2024</t>
  </si>
  <si>
    <t>CH1384269176</t>
  </si>
  <si>
    <t>BIL OC 211.5% NESN  13.12.2027</t>
  </si>
  <si>
    <t>13.12.2027</t>
  </si>
  <si>
    <t>20.08.2025</t>
  </si>
  <si>
    <t>CH1476717926</t>
  </si>
  <si>
    <t>TCM 100% CPN 125% LEONAI1  25.08.2028</t>
  </si>
  <si>
    <t>25.08.2028</t>
  </si>
  <si>
    <t>Guernsey</t>
  </si>
  <si>
    <t>Private Assets</t>
  </si>
  <si>
    <t>21.04.2026</t>
  </si>
  <si>
    <t>XX0009959643</t>
  </si>
  <si>
    <t>THEMIS FD REF2 CC</t>
  </si>
  <si>
    <t>18.06.2025</t>
  </si>
  <si>
    <t>XX0009947993</t>
  </si>
  <si>
    <t>ECHO FUND SCSP</t>
  </si>
  <si>
    <t>XX0009959642</t>
  </si>
  <si>
    <t>THEMIS FD REF2 COMMIT</t>
  </si>
  <si>
    <t>27.03.2026</t>
  </si>
  <si>
    <t>XX9970157843</t>
  </si>
  <si>
    <t>LEFT LANE II CLT2 COMMIT</t>
  </si>
  <si>
    <t>XX9970157842</t>
  </si>
  <si>
    <t>LEFT LANE II CLT2 CC</t>
  </si>
  <si>
    <t>XX9970157841</t>
  </si>
  <si>
    <t>LEFT LANE CP II CLT2</t>
  </si>
  <si>
    <t>30.09.2025</t>
  </si>
  <si>
    <t>XX0009959644</t>
  </si>
  <si>
    <t>THEMIS FUND REF2 SCSP</t>
  </si>
  <si>
    <t>03.06.2026</t>
  </si>
  <si>
    <t>XX0009936591</t>
  </si>
  <si>
    <t>COA KONA III REF3 LP</t>
  </si>
  <si>
    <t>Cayman Islands</t>
  </si>
  <si>
    <t>SYZ000012613</t>
  </si>
  <si>
    <t>COA KONA III REF3 COMMIT</t>
  </si>
  <si>
    <t>23.07.2026</t>
  </si>
  <si>
    <t>XX0009936523</t>
  </si>
  <si>
    <t>ACE BUYOUT III SPC A</t>
  </si>
  <si>
    <t>SYZ000012557</t>
  </si>
  <si>
    <t>ACE BUYOUT III A COMMIT</t>
  </si>
  <si>
    <t>ACE BUYOUT III A CC</t>
  </si>
  <si>
    <t>XX0009947992</t>
  </si>
  <si>
    <t>ECHO FUND COMMIT</t>
  </si>
  <si>
    <t>Gold and other commodities</t>
  </si>
  <si>
    <t>24.07.2025</t>
  </si>
  <si>
    <t>CH0183136057</t>
  </si>
  <si>
    <t>SWC(CH)PLATINUM ETF EACHF</t>
  </si>
  <si>
    <t>ZAE000003950</t>
  </si>
  <si>
    <t>OR KRUGERRAND(PCE)1OZ USD</t>
  </si>
  <si>
    <t>CH0002811286</t>
  </si>
  <si>
    <t>GOLD KG 1 999.9 CHF</t>
  </si>
  <si>
    <t>Currency and precious metal</t>
  </si>
  <si>
    <t>18.12.2025</t>
  </si>
  <si>
    <t>GB00B15KXQ89</t>
  </si>
  <si>
    <t>WISDOMT.ETC-COPPER COM ID</t>
  </si>
  <si>
    <t>27.09.2049</t>
  </si>
  <si>
    <t>GB00B15KYH63</t>
  </si>
  <si>
    <t>WISDOMTREE-ETC-AIGCI(LDN)</t>
  </si>
  <si>
    <t>GB00B15KXN58</t>
  </si>
  <si>
    <t>WISDOMTREE-ETC-ALUMIN PER</t>
  </si>
  <si>
    <t>22.09.2099</t>
  </si>
  <si>
    <t>Indices</t>
  </si>
  <si>
    <t>Other investments</t>
  </si>
  <si>
    <t>25.09.2024</t>
  </si>
  <si>
    <t>US46438F1012</t>
  </si>
  <si>
    <t>ISHARES BITCOIN ETF</t>
  </si>
  <si>
    <t>Company</t>
  </si>
  <si>
    <t>Amount to invest</t>
  </si>
  <si>
    <t xml:space="preserve">Yield </t>
  </si>
  <si>
    <t>Maturity</t>
  </si>
  <si>
    <t>Coupon</t>
  </si>
  <si>
    <t>Subordinate</t>
  </si>
  <si>
    <t>Country</t>
  </si>
  <si>
    <t>Sector</t>
  </si>
  <si>
    <t xml:space="preserve">Rating  </t>
  </si>
  <si>
    <t>Price</t>
  </si>
  <si>
    <t>Min Piece</t>
  </si>
  <si>
    <t>ISIN</t>
  </si>
  <si>
    <t>Morgan Stanley 3.521% 22-MAY-2031</t>
  </si>
  <si>
    <t>22/05/2031</t>
  </si>
  <si>
    <t>N</t>
  </si>
  <si>
    <t>United States</t>
  </si>
  <si>
    <t>Finance</t>
  </si>
  <si>
    <t>XS3057365549</t>
  </si>
  <si>
    <t>TotalEnergies Capital International SA 3.075% 01-JUL-2031</t>
  </si>
  <si>
    <t>01/07/2031</t>
  </si>
  <si>
    <t>A+</t>
  </si>
  <si>
    <t>XS3106109765</t>
  </si>
  <si>
    <t>ArcelorMittal SA 3.25% 30-SEP-2030</t>
  </si>
  <si>
    <t>30/09/2030</t>
  </si>
  <si>
    <t>Non-Energy Minerals</t>
  </si>
  <si>
    <t>BBB</t>
  </si>
  <si>
    <t>XS3192253402</t>
  </si>
  <si>
    <t>Glencore Capital Finance DAC 3.75% 04-FEB-2032</t>
  </si>
  <si>
    <t>04/02/2032</t>
  </si>
  <si>
    <t>Ireland</t>
  </si>
  <si>
    <t>XS3081952791</t>
  </si>
  <si>
    <t>SoftBank Group Corp. 5.0% 15-APR-2028</t>
  </si>
  <si>
    <t>15/04/2028</t>
  </si>
  <si>
    <t>Japan</t>
  </si>
  <si>
    <t>Communications</t>
  </si>
  <si>
    <t>XS1793255941</t>
  </si>
  <si>
    <t>B.A.T. International Finance Plc 2.25% 16-JAN-2030</t>
  </si>
  <si>
    <t>16/01/2030</t>
  </si>
  <si>
    <t>XS1664644983</t>
  </si>
  <si>
    <t xml:space="preserve">Average Yield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</si>
</sst>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0.000"/>
    <numFmt numFmtId="166" formatCode="_-* #,##0.00\ _C_H_F_-;\-* #,##0.00\ _C_H_F_-;_-* &quot;-&quot;??\ _C_H_F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Nunito Sans"/>
    </font>
    <font>
      <b/>
      <sz val="11"/>
      <color theme="2" tint="0.249977111117893"/>
      <name val="Aptos Narrow"/>
      <family val="2"/>
      <scheme val="minor"/>
    </font>
    <font>
      <b/>
      <sz val="10"/>
      <color theme="0"/>
      <name val="Nunito Sans"/>
    </font>
    <font>
      <b/>
      <sz val="10"/>
      <name val="Lucida Sans"/>
      <family val="2"/>
    </font>
    <font>
      <sz val="10"/>
      <name val="Lucida Sans"/>
      <family val="2"/>
    </font>
    <font>
      <sz val="10"/>
      <color theme="1"/>
      <name val="Arial"/>
      <family val="2"/>
    </font>
    <font>
      <sz val="11"/>
      <color theme="4" tint="-0.499984740745262"/>
      <name val="Aptos Narrow"/>
      <family val="2"/>
      <scheme val="minor"/>
    </font>
    <font>
      <sz val="10"/>
      <color theme="4" tint="-0.499984740745262"/>
      <name val="Lucida Sans"/>
      <family val="2"/>
    </font>
    <font>
      <sz val="9"/>
      <color rgb="FF242424"/>
      <name val="Aptos Narrow"/>
      <family val="2"/>
    </font>
    <font>
      <sz val="10"/>
      <color theme="3" tint="0.249977111117893"/>
      <name val="Lucida Sans"/>
      <family val="2"/>
    </font>
    <font>
      <sz val="11"/>
      <color theme="3" tint="0.249977111117893"/>
      <name val="Aptos Narrow"/>
      <family val="2"/>
      <scheme val="minor"/>
    </font>
    <font>
      <b/>
      <sz val="10"/>
      <color theme="3" tint="0.249977111117893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3AB7C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3">
    <xf numFmtId="0" fontId="0" fillId="0" borderId="0"/>
    <xf numFmtId="0" fontId="2" fillId="0" borderId="0"/>
    <xf numFmtId="166" fontId="1" fillId="0" borderId="0" applyFont="0" applyFill="0" applyBorder="0" applyAlignment="0" applyProtection="0"/>
  </cellStyleXfs>
  <cellXfs count="3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5" fontId="6" fillId="0" borderId="0" xfId="0" applyNumberFormat="1" applyFont="1" applyAlignment="1">
      <alignment horizontal="left"/>
    </xf>
    <xf numFmtId="2" fontId="7" fillId="0" borderId="0" xfId="0" applyNumberFormat="1" applyFont="1"/>
    <xf numFmtId="165" fontId="7" fillId="0" borderId="0" xfId="0" applyNumberFormat="1" applyFont="1" applyAlignment="1">
      <alignment horizontal="left"/>
    </xf>
    <xf numFmtId="3" fontId="7" fillId="0" borderId="0" xfId="0" applyNumberFormat="1" applyFont="1"/>
    <xf numFmtId="0" fontId="5" fillId="4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2" fontId="10" fillId="0" borderId="0" xfId="0" applyNumberFormat="1" applyFont="1"/>
    <xf numFmtId="165" fontId="10" fillId="0" borderId="0" xfId="0" applyNumberFormat="1" applyFont="1" applyAlignment="1">
      <alignment horizontal="left"/>
    </xf>
    <xf numFmtId="3" fontId="10" fillId="0" borderId="0" xfId="0" applyNumberFormat="1" applyFont="1"/>
    <xf numFmtId="4" fontId="10" fillId="0" borderId="0" xfId="0" applyNumberFormat="1" applyFont="1"/>
    <xf numFmtId="0" fontId="11" fillId="0" borderId="0" xfId="0" applyFont="1"/>
    <xf numFmtId="166" fontId="0" fillId="0" borderId="0" xfId="2" applyFont="1" applyAlignment="1">
      <alignment horizontal="center" vertical="center"/>
    </xf>
    <xf numFmtId="2" fontId="12" fillId="0" borderId="0" xfId="0" applyNumberFormat="1" applyFont="1"/>
    <xf numFmtId="164" fontId="13" fillId="0" borderId="0" xfId="0" applyNumberFormat="1" applyFont="1"/>
    <xf numFmtId="2" fontId="12" fillId="3" borderId="0" xfId="0" applyNumberFormat="1" applyFont="1" applyFill="1"/>
    <xf numFmtId="165" fontId="12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3" fontId="12" fillId="0" borderId="0" xfId="0" applyNumberFormat="1" applyFont="1"/>
    <xf numFmtId="4" fontId="12" fillId="0" borderId="0" xfId="0" applyNumberFormat="1" applyFont="1"/>
    <xf numFmtId="0" fontId="14" fillId="0" borderId="2" xfId="0" applyFont="1" applyBorder="1"/>
    <xf numFmtId="2" fontId="14" fillId="0" borderId="2" xfId="0" applyNumberFormat="1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3">
    <cellStyle name="Comma 3" xfId="2" xr:uid="{5502E22F-44AB-4C13-A12E-FE24BD92EB5C}"/>
    <cellStyle name="Normal" xfId="0" builtinId="0"/>
    <cellStyle name="Normal 2 3" xfId="1" xr:uid="{8EEF8BBF-93AC-4B29-AE3B-E87403F4B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0F3C0B-57DB-4B25-B5B4-F369DD75653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c8c0528-0d92-4552-bd20-2b19b213e93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A088-FA1E-454E-B7E2-959239D9C301}">
  <dimension ref="A1:AC94"/>
  <sheetViews>
    <sheetView tabSelected="1" workbookViewId="0">
      <selection activeCell="F68" sqref="F68"/>
    </sheetView>
  </sheetViews>
  <sheetFormatPr defaultRowHeight="14.4" x14ac:dyDescent="0.3"/>
  <sheetData>
    <row r="1" spans="1:29" x14ac:dyDescent="0.3">
      <c r="A1" t="s">
        <v>0</v>
      </c>
    </row>
    <row r="2" spans="1:29" x14ac:dyDescent="0.3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29" x14ac:dyDescent="0.3">
      <c r="B3" t="s">
        <v>10</v>
      </c>
      <c r="C3">
        <v>0.99164071366654905</v>
      </c>
      <c r="D3">
        <v>1.97207419343875</v>
      </c>
      <c r="E3">
        <v>5.2256498805011002</v>
      </c>
      <c r="F3">
        <v>13.4512472848006</v>
      </c>
      <c r="H3">
        <v>1.27335825674854</v>
      </c>
      <c r="J3">
        <v>0</v>
      </c>
      <c r="K3">
        <v>22.9139703291556</v>
      </c>
    </row>
    <row r="4" spans="1:29" x14ac:dyDescent="0.3">
      <c r="B4" t="s">
        <v>11</v>
      </c>
      <c r="C4">
        <v>0.49378727953804902</v>
      </c>
      <c r="D4">
        <v>0.82476428085990305</v>
      </c>
      <c r="E4">
        <v>6.5121325297872499</v>
      </c>
      <c r="F4">
        <v>9.4989930751718301</v>
      </c>
      <c r="G4">
        <v>3.49087130065175</v>
      </c>
      <c r="H4">
        <v>14.996951645664</v>
      </c>
      <c r="I4">
        <v>3.9756289936924998</v>
      </c>
      <c r="J4">
        <v>0.59680161545423305</v>
      </c>
      <c r="K4">
        <v>40.3899307208195</v>
      </c>
    </row>
    <row r="5" spans="1:29" x14ac:dyDescent="0.3">
      <c r="B5" t="s">
        <v>12</v>
      </c>
      <c r="C5">
        <v>0.14351951127921</v>
      </c>
      <c r="F5">
        <v>6.3987325075436701</v>
      </c>
      <c r="G5">
        <v>2.0111637731662402</v>
      </c>
      <c r="I5">
        <v>21.067976613199399</v>
      </c>
      <c r="K5">
        <v>29.621392405188502</v>
      </c>
    </row>
    <row r="6" spans="1:29" x14ac:dyDescent="0.3">
      <c r="B6" t="s">
        <v>13</v>
      </c>
      <c r="C6">
        <v>6.1083755373715902E-2</v>
      </c>
      <c r="D6">
        <v>0.55001971850211395</v>
      </c>
      <c r="F6">
        <v>3.3101181217926601</v>
      </c>
      <c r="K6">
        <v>3.9212215956684902</v>
      </c>
    </row>
    <row r="7" spans="1:29" x14ac:dyDescent="0.3">
      <c r="B7" t="s">
        <v>14</v>
      </c>
      <c r="C7" s="1">
        <v>2.89923271261704E-5</v>
      </c>
      <c r="K7" s="1">
        <v>2.89923271261704E-5</v>
      </c>
    </row>
    <row r="8" spans="1:29" x14ac:dyDescent="0.3">
      <c r="B8" t="s">
        <v>8</v>
      </c>
      <c r="C8">
        <v>2.1078460675171802</v>
      </c>
      <c r="F8">
        <v>1.0456098893235499</v>
      </c>
      <c r="G8">
        <v>0</v>
      </c>
      <c r="K8">
        <v>3.1534559568407401</v>
      </c>
    </row>
    <row r="9" spans="1:29" x14ac:dyDescent="0.3">
      <c r="B9" t="s">
        <v>9</v>
      </c>
      <c r="C9">
        <v>3.7979063197018399</v>
      </c>
      <c r="D9">
        <v>3.3468581928007701</v>
      </c>
      <c r="E9">
        <v>11.7377824102884</v>
      </c>
      <c r="F9">
        <v>33.704700878632302</v>
      </c>
      <c r="G9">
        <v>5.5020350738179902</v>
      </c>
      <c r="H9">
        <v>16.270309902412599</v>
      </c>
      <c r="I9">
        <v>25.043605606891902</v>
      </c>
      <c r="J9">
        <v>0.59680161545423305</v>
      </c>
      <c r="K9">
        <v>100</v>
      </c>
    </row>
    <row r="12" spans="1:29" x14ac:dyDescent="0.3">
      <c r="A12" t="s">
        <v>15</v>
      </c>
    </row>
    <row r="13" spans="1:29" x14ac:dyDescent="0.3">
      <c r="B13" t="s">
        <v>16</v>
      </c>
      <c r="C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 t="s">
        <v>33</v>
      </c>
      <c r="U13" t="s">
        <v>34</v>
      </c>
      <c r="V13" t="s">
        <v>35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  <c r="AB13" t="s">
        <v>41</v>
      </c>
      <c r="AC13" t="s">
        <v>42</v>
      </c>
    </row>
    <row r="14" spans="1:29" x14ac:dyDescent="0.3">
      <c r="A14" t="s">
        <v>1</v>
      </c>
    </row>
    <row r="15" spans="1:29" x14ac:dyDescent="0.3">
      <c r="D15">
        <v>0</v>
      </c>
      <c r="E15">
        <v>1466.24</v>
      </c>
      <c r="F15" t="s">
        <v>43</v>
      </c>
      <c r="H15">
        <v>1715.76116446835</v>
      </c>
      <c r="I15">
        <v>1466.24</v>
      </c>
      <c r="J15">
        <v>0</v>
      </c>
      <c r="M15" t="s">
        <v>13</v>
      </c>
      <c r="O15">
        <v>0.85457115500000003</v>
      </c>
      <c r="P15">
        <v>0</v>
      </c>
      <c r="S15">
        <v>-3.9920696273509998E-2</v>
      </c>
      <c r="T15">
        <v>0.35392929025088998</v>
      </c>
      <c r="V15">
        <v>8.0549982940000004E-3</v>
      </c>
      <c r="W15">
        <v>0</v>
      </c>
      <c r="Y15">
        <v>1</v>
      </c>
      <c r="Z15" t="s">
        <v>44</v>
      </c>
      <c r="AA15" s="1">
        <v>4.6449999999999997E-5</v>
      </c>
    </row>
    <row r="16" spans="1:29" x14ac:dyDescent="0.3">
      <c r="D16">
        <v>0</v>
      </c>
      <c r="E16">
        <v>4150</v>
      </c>
      <c r="F16" t="s">
        <v>45</v>
      </c>
      <c r="H16">
        <v>232897.868911939</v>
      </c>
      <c r="I16">
        <v>4150</v>
      </c>
      <c r="J16">
        <v>0</v>
      </c>
      <c r="M16" t="s">
        <v>46</v>
      </c>
      <c r="O16">
        <v>56.1199684125</v>
      </c>
      <c r="P16">
        <v>0</v>
      </c>
      <c r="S16">
        <v>-0.12887087867152999</v>
      </c>
      <c r="T16">
        <v>-9.0318689879318903</v>
      </c>
      <c r="V16">
        <v>1.0933875737330001</v>
      </c>
      <c r="W16">
        <v>60</v>
      </c>
      <c r="Y16">
        <v>5</v>
      </c>
      <c r="Z16" t="s">
        <v>47</v>
      </c>
      <c r="AA16">
        <v>0.55945955000000003</v>
      </c>
    </row>
    <row r="17" spans="1:29" x14ac:dyDescent="0.3">
      <c r="D17">
        <v>0</v>
      </c>
      <c r="E17">
        <v>144</v>
      </c>
      <c r="F17" t="s">
        <v>48</v>
      </c>
      <c r="H17">
        <v>215558.97041874801</v>
      </c>
      <c r="I17">
        <v>144</v>
      </c>
      <c r="J17">
        <v>0</v>
      </c>
      <c r="M17" t="s">
        <v>49</v>
      </c>
      <c r="O17">
        <v>1496.9372945745999</v>
      </c>
      <c r="P17">
        <v>0</v>
      </c>
      <c r="S17">
        <v>0</v>
      </c>
      <c r="T17">
        <v>-13.335405332328699</v>
      </c>
      <c r="V17">
        <v>1.0119865019100001</v>
      </c>
      <c r="W17">
        <v>60</v>
      </c>
      <c r="Y17">
        <v>5</v>
      </c>
      <c r="Z17" t="s">
        <v>50</v>
      </c>
      <c r="AA17">
        <v>-0.16408173000000001</v>
      </c>
    </row>
    <row r="18" spans="1:29" x14ac:dyDescent="0.3">
      <c r="D18">
        <v>0</v>
      </c>
      <c r="E18">
        <v>5804.4</v>
      </c>
      <c r="F18" t="s">
        <v>51</v>
      </c>
      <c r="H18">
        <v>526.54854808554205</v>
      </c>
      <c r="I18">
        <v>5804.4</v>
      </c>
      <c r="J18">
        <v>0</v>
      </c>
      <c r="M18" t="s">
        <v>52</v>
      </c>
      <c r="O18">
        <v>11.023484958999999</v>
      </c>
      <c r="P18">
        <v>0</v>
      </c>
      <c r="S18">
        <v>-0.104340532833</v>
      </c>
      <c r="T18">
        <v>-2.1191421980949601</v>
      </c>
      <c r="V18">
        <v>2.4719918740000002E-3</v>
      </c>
      <c r="W18">
        <v>85</v>
      </c>
      <c r="Y18">
        <v>1</v>
      </c>
      <c r="Z18" t="s">
        <v>53</v>
      </c>
      <c r="AA18" s="1">
        <v>-4.4299999999999999E-5</v>
      </c>
    </row>
    <row r="19" spans="1:29" x14ac:dyDescent="0.3">
      <c r="D19">
        <v>0</v>
      </c>
      <c r="E19">
        <v>211225.2</v>
      </c>
      <c r="F19" t="s">
        <v>54</v>
      </c>
      <c r="H19">
        <v>211225.2</v>
      </c>
      <c r="I19">
        <v>211225.2</v>
      </c>
      <c r="J19">
        <v>0</v>
      </c>
      <c r="M19" t="s">
        <v>10</v>
      </c>
      <c r="O19">
        <v>1</v>
      </c>
      <c r="P19">
        <v>0</v>
      </c>
      <c r="S19">
        <v>-113.005116682303</v>
      </c>
      <c r="T19">
        <v>-113.005116682303</v>
      </c>
      <c r="V19">
        <v>0.99164071366700002</v>
      </c>
      <c r="W19">
        <v>100</v>
      </c>
      <c r="Y19">
        <v>1</v>
      </c>
      <c r="Z19" t="s">
        <v>55</v>
      </c>
      <c r="AA19">
        <v>0</v>
      </c>
    </row>
    <row r="20" spans="1:29" x14ac:dyDescent="0.3">
      <c r="D20">
        <v>0</v>
      </c>
      <c r="E20">
        <v>9652.75</v>
      </c>
      <c r="F20" t="s">
        <v>56</v>
      </c>
      <c r="H20">
        <v>11295.431566675201</v>
      </c>
      <c r="I20">
        <v>9652.75</v>
      </c>
      <c r="J20">
        <v>0</v>
      </c>
      <c r="M20" t="s">
        <v>13</v>
      </c>
      <c r="O20">
        <v>0.85457115500000003</v>
      </c>
      <c r="P20">
        <v>0</v>
      </c>
      <c r="S20">
        <v>-6.9193572557000003E-3</v>
      </c>
      <c r="T20">
        <v>3.3617576710941499</v>
      </c>
      <c r="V20">
        <v>5.3028757080000002E-2</v>
      </c>
      <c r="W20">
        <v>90</v>
      </c>
      <c r="Y20">
        <v>1</v>
      </c>
      <c r="Z20" t="s">
        <v>44</v>
      </c>
      <c r="AA20">
        <v>1.6013599999999999E-2</v>
      </c>
    </row>
    <row r="21" spans="1:29" x14ac:dyDescent="0.3">
      <c r="D21">
        <v>0</v>
      </c>
      <c r="E21">
        <v>121418.72</v>
      </c>
      <c r="F21" t="s">
        <v>57</v>
      </c>
      <c r="H21">
        <v>105179.542792504</v>
      </c>
      <c r="I21">
        <v>121418.72</v>
      </c>
      <c r="J21">
        <v>0</v>
      </c>
      <c r="M21" t="s">
        <v>11</v>
      </c>
      <c r="O21">
        <v>1.1543948260000001</v>
      </c>
      <c r="P21">
        <v>0</v>
      </c>
      <c r="S21">
        <v>-1.08290421273576</v>
      </c>
      <c r="T21">
        <v>-19.049490003065301</v>
      </c>
      <c r="V21">
        <v>0.493787279538</v>
      </c>
      <c r="W21">
        <v>90.329936421322003</v>
      </c>
      <c r="Y21">
        <v>1</v>
      </c>
      <c r="Z21" t="s">
        <v>58</v>
      </c>
      <c r="AA21">
        <v>5.7879000000000003E-3</v>
      </c>
    </row>
    <row r="22" spans="1:29" x14ac:dyDescent="0.3">
      <c r="D22">
        <v>0</v>
      </c>
      <c r="E22">
        <v>9.94</v>
      </c>
      <c r="F22" t="s">
        <v>59</v>
      </c>
      <c r="H22">
        <v>6.1755331455158604</v>
      </c>
      <c r="I22">
        <v>9.94</v>
      </c>
      <c r="J22">
        <v>0</v>
      </c>
      <c r="M22" t="s">
        <v>14</v>
      </c>
      <c r="O22">
        <v>1.6095776292999999</v>
      </c>
      <c r="P22">
        <v>0</v>
      </c>
      <c r="S22">
        <v>0</v>
      </c>
      <c r="T22">
        <v>2.713328656685E-2</v>
      </c>
      <c r="V22" s="1">
        <v>2.8992327000000001E-5</v>
      </c>
      <c r="W22">
        <v>90</v>
      </c>
      <c r="Y22">
        <v>1</v>
      </c>
      <c r="Z22" t="s">
        <v>60</v>
      </c>
      <c r="AA22" s="1">
        <v>1E-8</v>
      </c>
    </row>
    <row r="23" spans="1:29" x14ac:dyDescent="0.3">
      <c r="D23">
        <v>0</v>
      </c>
      <c r="E23">
        <v>28646.99</v>
      </c>
      <c r="F23" t="s">
        <v>61</v>
      </c>
      <c r="H23">
        <v>30570.484910573301</v>
      </c>
      <c r="I23">
        <v>28646.99</v>
      </c>
      <c r="J23">
        <v>0</v>
      </c>
      <c r="M23" t="s">
        <v>12</v>
      </c>
      <c r="O23">
        <v>0.93708000000000002</v>
      </c>
      <c r="P23">
        <v>0</v>
      </c>
      <c r="S23">
        <v>-0.86374093766871995</v>
      </c>
      <c r="T23">
        <v>-0.89066150393085997</v>
      </c>
      <c r="V23">
        <v>0.14351951127900001</v>
      </c>
      <c r="W23">
        <v>90</v>
      </c>
      <c r="Y23">
        <v>1</v>
      </c>
      <c r="Z23" t="s">
        <v>62</v>
      </c>
      <c r="AA23">
        <v>-1.8076100000000001E-3</v>
      </c>
    </row>
    <row r="24" spans="1:29" x14ac:dyDescent="0.3">
      <c r="A24" t="s">
        <v>63</v>
      </c>
    </row>
    <row r="25" spans="1:29" x14ac:dyDescent="0.3">
      <c r="D25">
        <v>0</v>
      </c>
      <c r="E25">
        <v>100000</v>
      </c>
      <c r="F25" t="s">
        <v>64</v>
      </c>
      <c r="G25">
        <v>1.75</v>
      </c>
      <c r="H25">
        <v>100063.194444444</v>
      </c>
      <c r="I25">
        <v>100063.194444444</v>
      </c>
      <c r="J25">
        <v>1.75</v>
      </c>
      <c r="M25" t="s">
        <v>10</v>
      </c>
      <c r="O25">
        <v>1</v>
      </c>
      <c r="P25">
        <v>5.4794520547899999E-3</v>
      </c>
      <c r="S25">
        <v>6.3194444444359996E-2</v>
      </c>
      <c r="T25">
        <v>6.3194444444359996E-2</v>
      </c>
      <c r="V25">
        <v>0.46976751614200002</v>
      </c>
      <c r="W25">
        <v>95</v>
      </c>
      <c r="Y25">
        <v>1</v>
      </c>
      <c r="Z25" t="s">
        <v>55</v>
      </c>
      <c r="AA25">
        <v>0</v>
      </c>
    </row>
    <row r="26" spans="1:29" x14ac:dyDescent="0.3">
      <c r="D26">
        <v>0</v>
      </c>
      <c r="E26">
        <v>100000</v>
      </c>
      <c r="F26" t="s">
        <v>65</v>
      </c>
      <c r="G26">
        <v>3.35</v>
      </c>
      <c r="H26">
        <v>117157.377105857</v>
      </c>
      <c r="I26">
        <v>100119.315068493</v>
      </c>
      <c r="J26">
        <v>3.35</v>
      </c>
      <c r="M26" t="s">
        <v>13</v>
      </c>
      <c r="O26">
        <v>0.85457115500000003</v>
      </c>
      <c r="P26">
        <v>5.4794520547899999E-3</v>
      </c>
      <c r="S26">
        <v>0.26610728083825003</v>
      </c>
      <c r="T26">
        <v>1.07250328936608</v>
      </c>
      <c r="V26">
        <v>0.55001971850200004</v>
      </c>
      <c r="W26">
        <v>85.5</v>
      </c>
      <c r="Y26">
        <v>1</v>
      </c>
      <c r="Z26" t="s">
        <v>44</v>
      </c>
      <c r="AA26">
        <v>4.6497500000000002E-3</v>
      </c>
    </row>
    <row r="27" spans="1:29" x14ac:dyDescent="0.3">
      <c r="B27" t="s">
        <v>66</v>
      </c>
      <c r="C27" t="s">
        <v>67</v>
      </c>
      <c r="D27">
        <v>0</v>
      </c>
      <c r="E27">
        <v>2158.6329999999998</v>
      </c>
      <c r="F27" t="s">
        <v>68</v>
      </c>
      <c r="H27">
        <v>175679.55588809101</v>
      </c>
      <c r="I27">
        <v>202803.57034999999</v>
      </c>
      <c r="L27" t="s">
        <v>69</v>
      </c>
      <c r="M27" t="s">
        <v>11</v>
      </c>
      <c r="N27">
        <v>92.715343460400007</v>
      </c>
      <c r="O27">
        <v>93.95</v>
      </c>
      <c r="Q27">
        <v>1.05999522</v>
      </c>
      <c r="R27">
        <v>3.9606436319389999</v>
      </c>
      <c r="S27">
        <v>2.1750962119929902</v>
      </c>
      <c r="T27">
        <v>3.9606447018950299</v>
      </c>
      <c r="V27">
        <v>0.82476428085999998</v>
      </c>
      <c r="W27">
        <v>85.813439600256004</v>
      </c>
      <c r="X27">
        <v>-6581.7941119088</v>
      </c>
      <c r="Y27">
        <v>1</v>
      </c>
      <c r="Z27" t="s">
        <v>70</v>
      </c>
      <c r="AA27">
        <v>3.3843110000000003E-2</v>
      </c>
      <c r="AB27">
        <v>-1.465556273E-2</v>
      </c>
      <c r="AC27">
        <v>201287.49</v>
      </c>
    </row>
    <row r="28" spans="1:29" x14ac:dyDescent="0.3">
      <c r="D28">
        <v>0</v>
      </c>
      <c r="E28">
        <v>320000</v>
      </c>
      <c r="F28" t="s">
        <v>71</v>
      </c>
      <c r="G28">
        <v>2.5299999999999998</v>
      </c>
      <c r="H28">
        <v>320000</v>
      </c>
      <c r="I28">
        <v>320000</v>
      </c>
      <c r="J28">
        <v>2.5299999999999998</v>
      </c>
      <c r="K28">
        <v>0.18333333330000001</v>
      </c>
      <c r="M28" t="s">
        <v>10</v>
      </c>
      <c r="O28">
        <v>1</v>
      </c>
      <c r="P28">
        <v>0.18356164383561999</v>
      </c>
      <c r="S28">
        <v>0</v>
      </c>
      <c r="T28">
        <v>0</v>
      </c>
      <c r="U28" t="s">
        <v>72</v>
      </c>
      <c r="V28">
        <v>1.502306677297</v>
      </c>
      <c r="W28">
        <v>95</v>
      </c>
      <c r="Y28">
        <v>1</v>
      </c>
      <c r="Z28" t="s">
        <v>55</v>
      </c>
      <c r="AA28">
        <v>0</v>
      </c>
    </row>
    <row r="29" spans="1:29" x14ac:dyDescent="0.3">
      <c r="A29" t="s">
        <v>3</v>
      </c>
    </row>
    <row r="30" spans="1:29" x14ac:dyDescent="0.3">
      <c r="B30" t="s">
        <v>73</v>
      </c>
      <c r="C30" t="s">
        <v>74</v>
      </c>
      <c r="D30">
        <v>0</v>
      </c>
      <c r="E30">
        <v>2943.7339999999999</v>
      </c>
      <c r="F30" t="s">
        <v>75</v>
      </c>
      <c r="H30">
        <v>465463.22008</v>
      </c>
      <c r="I30">
        <v>465463.22008</v>
      </c>
      <c r="L30" t="s">
        <v>69</v>
      </c>
      <c r="M30" t="s">
        <v>10</v>
      </c>
      <c r="N30">
        <v>156.01200719900001</v>
      </c>
      <c r="O30">
        <v>158.12</v>
      </c>
      <c r="Q30">
        <v>1.3511734399999999</v>
      </c>
      <c r="R30">
        <v>2.815527667599</v>
      </c>
      <c r="S30">
        <v>1.9737456662680699</v>
      </c>
      <c r="T30">
        <v>1.9737456662680699</v>
      </c>
      <c r="V30">
        <v>2.1852140736319998</v>
      </c>
      <c r="W30">
        <v>60</v>
      </c>
      <c r="X30">
        <v>6205.3700799999997</v>
      </c>
      <c r="Y30">
        <v>1</v>
      </c>
      <c r="Z30" t="s">
        <v>70</v>
      </c>
      <c r="AA30">
        <v>0</v>
      </c>
      <c r="AB30">
        <v>-7.3049915879999996E-3</v>
      </c>
      <c r="AC30">
        <v>459257.85</v>
      </c>
    </row>
    <row r="31" spans="1:29" x14ac:dyDescent="0.3">
      <c r="B31" t="s">
        <v>76</v>
      </c>
      <c r="C31" t="s">
        <v>77</v>
      </c>
      <c r="D31">
        <v>0</v>
      </c>
      <c r="E31">
        <v>71129.376000000004</v>
      </c>
      <c r="F31" t="s">
        <v>78</v>
      </c>
      <c r="H31">
        <v>90376.985145600003</v>
      </c>
      <c r="I31">
        <v>90376.985145600003</v>
      </c>
      <c r="L31" t="s">
        <v>69</v>
      </c>
      <c r="M31" t="s">
        <v>10</v>
      </c>
      <c r="N31">
        <v>1.2792183077999999</v>
      </c>
      <c r="O31">
        <v>1.2706</v>
      </c>
      <c r="Q31">
        <v>-0.67371672999999999</v>
      </c>
      <c r="R31">
        <v>1.696814470946</v>
      </c>
      <c r="S31">
        <v>-0.67371673194855997</v>
      </c>
      <c r="T31">
        <v>-0.67371673194855997</v>
      </c>
      <c r="V31">
        <v>0.42429358830699998</v>
      </c>
      <c r="W31">
        <v>60</v>
      </c>
      <c r="X31">
        <v>-613.01485439999999</v>
      </c>
      <c r="Y31">
        <v>2</v>
      </c>
      <c r="Z31" t="s">
        <v>70</v>
      </c>
      <c r="AA31">
        <v>0</v>
      </c>
      <c r="AB31">
        <v>0.102235824526</v>
      </c>
      <c r="AC31">
        <v>90990</v>
      </c>
    </row>
    <row r="32" spans="1:29" x14ac:dyDescent="0.3">
      <c r="B32" t="s">
        <v>79</v>
      </c>
      <c r="C32" t="s">
        <v>80</v>
      </c>
      <c r="D32">
        <v>0</v>
      </c>
      <c r="E32">
        <v>200000</v>
      </c>
      <c r="F32" t="s">
        <v>81</v>
      </c>
      <c r="G32">
        <v>4.75</v>
      </c>
      <c r="H32">
        <v>175430.92795943</v>
      </c>
      <c r="I32">
        <v>202516.555555556</v>
      </c>
      <c r="J32">
        <v>4.7253444260000004</v>
      </c>
      <c r="K32">
        <v>0.73888888890000004</v>
      </c>
      <c r="L32" t="s">
        <v>82</v>
      </c>
      <c r="M32" t="s">
        <v>11</v>
      </c>
      <c r="N32">
        <v>101.59292499999999</v>
      </c>
      <c r="O32">
        <v>100.018</v>
      </c>
      <c r="P32">
        <v>0.48730421619999997</v>
      </c>
      <c r="Q32">
        <v>-1.55023098</v>
      </c>
      <c r="R32">
        <v>1.538406386613</v>
      </c>
      <c r="S32">
        <v>2.7415694000965098</v>
      </c>
      <c r="T32">
        <v>4.5370172234282702</v>
      </c>
      <c r="U32" t="s">
        <v>83</v>
      </c>
      <c r="V32">
        <v>0.82359704524300004</v>
      </c>
      <c r="W32">
        <v>81.296942779190005</v>
      </c>
      <c r="X32">
        <v>-2048.9950702181</v>
      </c>
      <c r="Y32">
        <v>4</v>
      </c>
      <c r="Z32" t="s">
        <v>84</v>
      </c>
      <c r="AA32">
        <v>1.4853470000000001E-2</v>
      </c>
      <c r="AB32">
        <v>6.6623868478000003E-2</v>
      </c>
      <c r="AC32">
        <v>175331.13</v>
      </c>
    </row>
    <row r="33" spans="1:29" x14ac:dyDescent="0.3">
      <c r="B33" t="s">
        <v>85</v>
      </c>
      <c r="C33" t="s">
        <v>86</v>
      </c>
      <c r="D33">
        <v>0</v>
      </c>
      <c r="E33">
        <v>150000</v>
      </c>
      <c r="F33" t="s">
        <v>87</v>
      </c>
      <c r="G33">
        <v>4.75</v>
      </c>
      <c r="H33">
        <v>156102.63698630099</v>
      </c>
      <c r="I33">
        <v>156102.63698630099</v>
      </c>
      <c r="J33">
        <v>3.677935009</v>
      </c>
      <c r="K33">
        <v>3.9166666666999999</v>
      </c>
      <c r="L33" t="s">
        <v>88</v>
      </c>
      <c r="M33" t="s">
        <v>10</v>
      </c>
      <c r="N33">
        <v>103.3151333333</v>
      </c>
      <c r="O33">
        <v>103.66500000000001</v>
      </c>
      <c r="P33">
        <v>3.4462759827</v>
      </c>
      <c r="Q33">
        <v>0.33864029000000001</v>
      </c>
      <c r="R33">
        <v>-2.4999294602300002</v>
      </c>
      <c r="S33">
        <v>0.25388237316741002</v>
      </c>
      <c r="T33">
        <v>0.25388237316741002</v>
      </c>
      <c r="U33" t="s">
        <v>89</v>
      </c>
      <c r="V33">
        <v>0.73285635589999998</v>
      </c>
      <c r="W33">
        <v>85</v>
      </c>
      <c r="X33">
        <v>524.79999999999995</v>
      </c>
      <c r="Y33">
        <v>3</v>
      </c>
      <c r="Z33" t="s">
        <v>90</v>
      </c>
      <c r="AA33">
        <v>0</v>
      </c>
      <c r="AB33">
        <v>2.5381943826000002E-2</v>
      </c>
      <c r="AC33">
        <v>154972.70000000001</v>
      </c>
    </row>
    <row r="34" spans="1:29" x14ac:dyDescent="0.3">
      <c r="B34" t="s">
        <v>91</v>
      </c>
      <c r="C34" t="s">
        <v>92</v>
      </c>
      <c r="D34">
        <v>0</v>
      </c>
      <c r="E34">
        <v>200000</v>
      </c>
      <c r="F34" t="s">
        <v>93</v>
      </c>
      <c r="G34">
        <v>4</v>
      </c>
      <c r="H34">
        <v>170136.860187438</v>
      </c>
      <c r="I34">
        <v>196405.11111111101</v>
      </c>
      <c r="J34">
        <v>4.838196216</v>
      </c>
      <c r="K34">
        <v>4.2111111111000001</v>
      </c>
      <c r="L34" t="s">
        <v>94</v>
      </c>
      <c r="M34" t="s">
        <v>11</v>
      </c>
      <c r="N34">
        <v>98.933554999999998</v>
      </c>
      <c r="O34">
        <v>97.046999999999997</v>
      </c>
      <c r="P34">
        <v>3.8672172771</v>
      </c>
      <c r="Q34">
        <v>-1.90689094</v>
      </c>
      <c r="R34">
        <v>-0.25563349317700002</v>
      </c>
      <c r="S34">
        <v>0.53838370008628</v>
      </c>
      <c r="T34">
        <v>2.2953300191818999</v>
      </c>
      <c r="U34" t="s">
        <v>95</v>
      </c>
      <c r="V34">
        <v>0.79874294098099996</v>
      </c>
      <c r="W34">
        <v>81.296942779190005</v>
      </c>
      <c r="X34">
        <v>-2740.7207875528002</v>
      </c>
      <c r="Y34">
        <v>3</v>
      </c>
      <c r="Z34" t="s">
        <v>58</v>
      </c>
      <c r="AA34">
        <v>1.4519890000000001E-2</v>
      </c>
      <c r="AB34">
        <v>0.122121400908</v>
      </c>
      <c r="AC34">
        <v>170875.57</v>
      </c>
    </row>
    <row r="35" spans="1:29" x14ac:dyDescent="0.3">
      <c r="B35" t="s">
        <v>91</v>
      </c>
      <c r="C35" t="s">
        <v>96</v>
      </c>
      <c r="D35">
        <v>0</v>
      </c>
      <c r="E35">
        <v>200000</v>
      </c>
      <c r="F35" t="s">
        <v>97</v>
      </c>
      <c r="G35">
        <v>3.5</v>
      </c>
      <c r="H35">
        <v>200152.79452054799</v>
      </c>
      <c r="I35">
        <v>200152.79452054799</v>
      </c>
      <c r="J35">
        <v>3.9952502750000001</v>
      </c>
      <c r="K35">
        <v>6.2472222221999996</v>
      </c>
      <c r="L35" t="s">
        <v>88</v>
      </c>
      <c r="M35" t="s">
        <v>10</v>
      </c>
      <c r="N35">
        <v>99.671539999999993</v>
      </c>
      <c r="O35">
        <v>97.448999999999998</v>
      </c>
      <c r="P35">
        <v>5.5685772782000003</v>
      </c>
      <c r="Q35">
        <v>-2.2298642100000001</v>
      </c>
      <c r="R35">
        <v>-1.342444950645</v>
      </c>
      <c r="S35">
        <v>0.83786124674347995</v>
      </c>
      <c r="T35">
        <v>0.83786124674347995</v>
      </c>
      <c r="U35" t="s">
        <v>98</v>
      </c>
      <c r="V35">
        <v>0.93965899902399996</v>
      </c>
      <c r="W35">
        <v>60</v>
      </c>
      <c r="X35">
        <v>-4445.08</v>
      </c>
      <c r="Y35">
        <v>3</v>
      </c>
      <c r="Z35" t="s">
        <v>99</v>
      </c>
      <c r="AA35">
        <v>0</v>
      </c>
      <c r="AB35">
        <v>9.5180544251999996E-2</v>
      </c>
      <c r="AC35">
        <v>199343.08</v>
      </c>
    </row>
    <row r="36" spans="1:29" x14ac:dyDescent="0.3">
      <c r="B36" t="s">
        <v>91</v>
      </c>
      <c r="C36" t="s">
        <v>100</v>
      </c>
      <c r="D36">
        <v>0</v>
      </c>
      <c r="E36">
        <v>200000</v>
      </c>
      <c r="F36" t="s">
        <v>101</v>
      </c>
      <c r="G36">
        <v>4.5999999999999996</v>
      </c>
      <c r="H36">
        <v>169897.58137571599</v>
      </c>
      <c r="I36">
        <v>196128.88888888899</v>
      </c>
      <c r="J36">
        <v>5.2996654689999998</v>
      </c>
      <c r="K36">
        <v>6.2555555556</v>
      </c>
      <c r="L36" t="s">
        <v>102</v>
      </c>
      <c r="M36" t="s">
        <v>11</v>
      </c>
      <c r="N36">
        <v>101.36217499999999</v>
      </c>
      <c r="O36">
        <v>96.94</v>
      </c>
      <c r="P36">
        <v>5.4343193973000004</v>
      </c>
      <c r="Q36">
        <v>-4.3627467500000003</v>
      </c>
      <c r="R36">
        <v>-2.2321598620379999</v>
      </c>
      <c r="S36">
        <v>-1.0735715277986</v>
      </c>
      <c r="T36">
        <v>0.65520526340146001</v>
      </c>
      <c r="U36" t="s">
        <v>103</v>
      </c>
      <c r="V36">
        <v>0.79761959674100003</v>
      </c>
      <c r="W36">
        <v>76.780445958122996</v>
      </c>
      <c r="X36">
        <v>-7120.7493037947997</v>
      </c>
      <c r="Y36">
        <v>3</v>
      </c>
      <c r="Z36" t="s">
        <v>58</v>
      </c>
      <c r="AA36">
        <v>1.4639640000000001E-2</v>
      </c>
      <c r="AB36">
        <v>0.27400951378999999</v>
      </c>
      <c r="AC36">
        <v>175070.22</v>
      </c>
    </row>
    <row r="37" spans="1:29" x14ac:dyDescent="0.3">
      <c r="B37" t="s">
        <v>85</v>
      </c>
      <c r="C37" t="s">
        <v>104</v>
      </c>
      <c r="D37">
        <v>0</v>
      </c>
      <c r="E37">
        <v>150000</v>
      </c>
      <c r="F37" t="s">
        <v>105</v>
      </c>
      <c r="G37">
        <v>4.7</v>
      </c>
      <c r="H37">
        <v>130082.44373479301</v>
      </c>
      <c r="I37">
        <v>150166.5</v>
      </c>
      <c r="J37">
        <v>4.9740072319999999</v>
      </c>
      <c r="K37">
        <v>6.3</v>
      </c>
      <c r="L37" t="s">
        <v>102</v>
      </c>
      <c r="M37" t="s">
        <v>11</v>
      </c>
      <c r="N37">
        <v>100.4241933333</v>
      </c>
      <c r="O37">
        <v>99.171000000000006</v>
      </c>
      <c r="P37">
        <v>5.4740982552000004</v>
      </c>
      <c r="Q37">
        <v>-1.2478998299999999</v>
      </c>
      <c r="R37">
        <v>-1.840489152065</v>
      </c>
      <c r="S37">
        <v>-0.71487254333229</v>
      </c>
      <c r="T37">
        <v>1.0201726484251801</v>
      </c>
      <c r="U37" t="s">
        <v>106</v>
      </c>
      <c r="V37">
        <v>0.61069913694300004</v>
      </c>
      <c r="W37">
        <v>76.780445958122996</v>
      </c>
      <c r="X37">
        <v>-11107.065461006499</v>
      </c>
      <c r="Y37">
        <v>3</v>
      </c>
      <c r="Z37" t="s">
        <v>58</v>
      </c>
      <c r="AA37">
        <v>1.1215859999999999E-2</v>
      </c>
      <c r="AB37">
        <v>0.190279778762</v>
      </c>
      <c r="AC37">
        <v>139968.09</v>
      </c>
    </row>
    <row r="38" spans="1:29" x14ac:dyDescent="0.3">
      <c r="B38" t="s">
        <v>107</v>
      </c>
      <c r="C38" t="s">
        <v>108</v>
      </c>
      <c r="D38">
        <v>0</v>
      </c>
      <c r="E38">
        <v>200000</v>
      </c>
      <c r="F38" t="s">
        <v>109</v>
      </c>
      <c r="G38">
        <v>3.5</v>
      </c>
      <c r="H38">
        <v>200997.97260273999</v>
      </c>
      <c r="I38">
        <v>200997.97260273999</v>
      </c>
      <c r="J38">
        <v>3.8241571809999999</v>
      </c>
      <c r="K38">
        <v>6.4444444444000002</v>
      </c>
      <c r="L38" t="s">
        <v>94</v>
      </c>
      <c r="M38" t="s">
        <v>10</v>
      </c>
      <c r="N38">
        <v>102.51436</v>
      </c>
      <c r="O38">
        <v>98.561999999999998</v>
      </c>
      <c r="P38">
        <v>5.4483230664000004</v>
      </c>
      <c r="Q38">
        <v>-3.8554208399999998</v>
      </c>
      <c r="R38">
        <v>-1.5875868679609999</v>
      </c>
      <c r="S38">
        <v>0.54745985154789001</v>
      </c>
      <c r="T38">
        <v>0.54745985154789001</v>
      </c>
      <c r="U38" t="s">
        <v>110</v>
      </c>
      <c r="V38">
        <v>0.94362686363799997</v>
      </c>
      <c r="W38">
        <v>80</v>
      </c>
      <c r="X38">
        <v>-7904.72</v>
      </c>
      <c r="Y38">
        <v>3</v>
      </c>
      <c r="Z38" t="s">
        <v>58</v>
      </c>
      <c r="AA38">
        <v>0</v>
      </c>
      <c r="AB38">
        <v>0.20910534354300001</v>
      </c>
      <c r="AC38">
        <v>205028.72</v>
      </c>
    </row>
    <row r="39" spans="1:29" x14ac:dyDescent="0.3">
      <c r="B39" t="s">
        <v>85</v>
      </c>
      <c r="C39" t="s">
        <v>111</v>
      </c>
      <c r="D39">
        <v>0</v>
      </c>
      <c r="E39">
        <v>150000</v>
      </c>
      <c r="F39" t="s">
        <v>112</v>
      </c>
      <c r="G39">
        <v>3.1019999999999999</v>
      </c>
      <c r="H39">
        <v>118835.273609244</v>
      </c>
      <c r="I39">
        <v>137182.82500000001</v>
      </c>
      <c r="J39">
        <v>5.4849336470000001</v>
      </c>
      <c r="K39">
        <v>6.5305555556000003</v>
      </c>
      <c r="L39" t="s">
        <v>94</v>
      </c>
      <c r="M39" t="s">
        <v>11</v>
      </c>
      <c r="N39">
        <v>85.357453333300001</v>
      </c>
      <c r="O39">
        <v>89.998999999999995</v>
      </c>
      <c r="P39">
        <v>5.4483230665000004</v>
      </c>
      <c r="Q39">
        <v>5.43777548</v>
      </c>
      <c r="R39">
        <v>-0.63396132784100001</v>
      </c>
      <c r="S39">
        <v>-0.27476197092222998</v>
      </c>
      <c r="T39">
        <v>1.4679743197145501</v>
      </c>
      <c r="U39" t="s">
        <v>113</v>
      </c>
      <c r="V39">
        <v>0.55789695325499999</v>
      </c>
      <c r="W39">
        <v>72.263949137056997</v>
      </c>
      <c r="X39">
        <v>-2025.4482949160999</v>
      </c>
      <c r="Y39">
        <v>3</v>
      </c>
      <c r="Z39" t="s">
        <v>58</v>
      </c>
      <c r="AA39">
        <v>1.00733E-2</v>
      </c>
      <c r="AB39">
        <v>0.17131065399199999</v>
      </c>
      <c r="AC39">
        <v>118968.54</v>
      </c>
    </row>
    <row r="40" spans="1:29" x14ac:dyDescent="0.3">
      <c r="B40" t="s">
        <v>114</v>
      </c>
      <c r="C40" t="s">
        <v>115</v>
      </c>
      <c r="D40">
        <v>0</v>
      </c>
      <c r="E40">
        <v>582</v>
      </c>
      <c r="F40" t="s">
        <v>116</v>
      </c>
      <c r="H40">
        <v>622738.75784351397</v>
      </c>
      <c r="I40">
        <v>718886.40000000002</v>
      </c>
      <c r="L40" t="s">
        <v>82</v>
      </c>
      <c r="M40" t="s">
        <v>11</v>
      </c>
      <c r="N40">
        <v>1156.0537972509001</v>
      </c>
      <c r="O40">
        <v>1235.2</v>
      </c>
      <c r="Q40">
        <v>6.8462387199999997</v>
      </c>
      <c r="R40">
        <v>2.723059049837</v>
      </c>
      <c r="S40">
        <v>0.48967693746771002</v>
      </c>
      <c r="T40">
        <v>2.3267745713505499</v>
      </c>
      <c r="U40" t="s">
        <v>117</v>
      </c>
      <c r="V40">
        <v>2.9235768566239999</v>
      </c>
      <c r="W40">
        <v>63.230955494924999</v>
      </c>
      <c r="X40">
        <v>49502.607843513797</v>
      </c>
      <c r="Y40">
        <v>3</v>
      </c>
      <c r="Z40" t="s">
        <v>70</v>
      </c>
      <c r="AA40">
        <v>5.2145400000000001E-2</v>
      </c>
      <c r="AB40">
        <v>1.051511341176</v>
      </c>
      <c r="AC40">
        <v>573236.15</v>
      </c>
    </row>
    <row r="41" spans="1:29" x14ac:dyDescent="0.3">
      <c r="A41" t="s">
        <v>118</v>
      </c>
    </row>
    <row r="42" spans="1:29" x14ac:dyDescent="0.3">
      <c r="B42" t="s">
        <v>119</v>
      </c>
      <c r="C42" t="s">
        <v>120</v>
      </c>
      <c r="D42">
        <v>0</v>
      </c>
      <c r="E42">
        <v>1405</v>
      </c>
      <c r="F42" t="s">
        <v>121</v>
      </c>
      <c r="H42">
        <v>615109</v>
      </c>
      <c r="I42">
        <v>615109</v>
      </c>
      <c r="M42" t="s">
        <v>10</v>
      </c>
      <c r="N42">
        <v>214.27345907470001</v>
      </c>
      <c r="O42">
        <v>437.8</v>
      </c>
      <c r="Q42">
        <v>104.31835183</v>
      </c>
      <c r="R42">
        <v>12.112676056338</v>
      </c>
      <c r="S42">
        <v>15.9368002187858</v>
      </c>
      <c r="T42">
        <v>15.9368002187858</v>
      </c>
      <c r="V42">
        <v>2.8877573686410001</v>
      </c>
      <c r="W42">
        <v>75</v>
      </c>
      <c r="X42">
        <v>314054.78999999998</v>
      </c>
      <c r="Y42">
        <v>4</v>
      </c>
      <c r="Z42" t="s">
        <v>99</v>
      </c>
      <c r="AA42">
        <v>0</v>
      </c>
      <c r="AB42">
        <v>5.3035192391130002</v>
      </c>
      <c r="AC42">
        <v>301054.21000000002</v>
      </c>
    </row>
    <row r="43" spans="1:29" x14ac:dyDescent="0.3">
      <c r="B43" t="s">
        <v>122</v>
      </c>
      <c r="C43" t="s">
        <v>123</v>
      </c>
      <c r="D43">
        <v>1</v>
      </c>
      <c r="E43">
        <v>800</v>
      </c>
      <c r="F43" t="s">
        <v>124</v>
      </c>
      <c r="H43">
        <v>351304.41584496503</v>
      </c>
      <c r="I43">
        <v>405544</v>
      </c>
      <c r="M43" t="s">
        <v>11</v>
      </c>
      <c r="N43">
        <v>247.44332499999999</v>
      </c>
      <c r="O43">
        <v>506.93</v>
      </c>
      <c r="Q43">
        <v>104.86711452</v>
      </c>
      <c r="R43">
        <v>2.6139050381429998</v>
      </c>
      <c r="S43">
        <v>0.85148711827314005</v>
      </c>
      <c r="T43">
        <v>2.6139050381426499</v>
      </c>
      <c r="V43">
        <v>1.649271780274</v>
      </c>
      <c r="W43">
        <v>67.747452315990998</v>
      </c>
      <c r="X43">
        <v>182670.605844965</v>
      </c>
      <c r="Y43">
        <v>3</v>
      </c>
      <c r="Z43" t="s">
        <v>58</v>
      </c>
      <c r="AA43">
        <v>2.9847169999999999E-2</v>
      </c>
      <c r="AB43">
        <v>1.6949591963370001</v>
      </c>
      <c r="AC43">
        <v>168633.81</v>
      </c>
    </row>
    <row r="44" spans="1:29" x14ac:dyDescent="0.3">
      <c r="B44" t="s">
        <v>85</v>
      </c>
      <c r="C44" t="s">
        <v>125</v>
      </c>
      <c r="D44">
        <v>0</v>
      </c>
      <c r="E44">
        <v>9470</v>
      </c>
      <c r="F44" t="s">
        <v>126</v>
      </c>
      <c r="H44">
        <v>551911.6</v>
      </c>
      <c r="I44">
        <v>551911.6</v>
      </c>
      <c r="L44" t="s">
        <v>69</v>
      </c>
      <c r="M44" t="s">
        <v>10</v>
      </c>
      <c r="N44">
        <v>26.6367529039</v>
      </c>
      <c r="O44">
        <v>58.28</v>
      </c>
      <c r="Q44">
        <v>118.79543731</v>
      </c>
      <c r="R44">
        <v>11.56202143951</v>
      </c>
      <c r="S44">
        <v>11.562021439510101</v>
      </c>
      <c r="T44">
        <v>11.562021439510101</v>
      </c>
      <c r="V44">
        <v>2.5910640061170001</v>
      </c>
      <c r="W44">
        <v>75</v>
      </c>
      <c r="X44">
        <v>299661.55</v>
      </c>
      <c r="Y44">
        <v>5</v>
      </c>
      <c r="Z44" t="s">
        <v>70</v>
      </c>
      <c r="AA44">
        <v>0</v>
      </c>
      <c r="AB44">
        <v>4.0800149954540004</v>
      </c>
      <c r="AC44">
        <v>252250.05</v>
      </c>
    </row>
    <row r="45" spans="1:29" x14ac:dyDescent="0.3">
      <c r="B45" t="s">
        <v>127</v>
      </c>
      <c r="C45" t="s">
        <v>128</v>
      </c>
      <c r="D45">
        <v>0</v>
      </c>
      <c r="E45">
        <v>695</v>
      </c>
      <c r="F45" t="s">
        <v>129</v>
      </c>
      <c r="H45">
        <v>218369</v>
      </c>
      <c r="I45">
        <v>218369</v>
      </c>
      <c r="M45" t="s">
        <v>10</v>
      </c>
      <c r="N45">
        <v>79.3529928058</v>
      </c>
      <c r="O45">
        <v>314.2</v>
      </c>
      <c r="Q45">
        <v>59.215365120000001</v>
      </c>
      <c r="R45">
        <v>14.755295836377</v>
      </c>
      <c r="S45">
        <v>15.238711431732099</v>
      </c>
      <c r="T45">
        <v>15.238711431732099</v>
      </c>
      <c r="V45">
        <v>1.0251787712960001</v>
      </c>
      <c r="W45">
        <v>75</v>
      </c>
      <c r="X45">
        <v>81215.78</v>
      </c>
      <c r="Y45">
        <v>4</v>
      </c>
      <c r="Z45" t="s">
        <v>130</v>
      </c>
      <c r="AA45">
        <v>0</v>
      </c>
      <c r="AB45">
        <v>1.0842236231989999</v>
      </c>
      <c r="AC45">
        <v>55150.33</v>
      </c>
    </row>
    <row r="46" spans="1:29" x14ac:dyDescent="0.3">
      <c r="B46" t="s">
        <v>127</v>
      </c>
      <c r="C46" t="s">
        <v>131</v>
      </c>
      <c r="D46">
        <v>1</v>
      </c>
      <c r="E46">
        <v>509</v>
      </c>
      <c r="F46" t="s">
        <v>132</v>
      </c>
      <c r="H46">
        <v>344645.60122935101</v>
      </c>
      <c r="I46">
        <v>322960.5</v>
      </c>
      <c r="M46" t="s">
        <v>12</v>
      </c>
      <c r="N46">
        <v>442.55642436149998</v>
      </c>
      <c r="O46">
        <v>634.5</v>
      </c>
      <c r="Q46">
        <v>22.286910110000001</v>
      </c>
      <c r="R46">
        <v>9.4824924659210001</v>
      </c>
      <c r="S46">
        <v>12.6873276171781</v>
      </c>
      <c r="T46">
        <v>11.9008684860299</v>
      </c>
      <c r="V46">
        <v>1.6180105875869999</v>
      </c>
      <c r="W46">
        <v>67.5</v>
      </c>
      <c r="X46">
        <v>61848.311229350802</v>
      </c>
      <c r="Y46">
        <v>3</v>
      </c>
      <c r="Z46" t="s">
        <v>62</v>
      </c>
      <c r="AA46">
        <v>3.1848200000000001E-3</v>
      </c>
      <c r="AB46">
        <v>1.5725651662760001</v>
      </c>
      <c r="AC46">
        <v>237702.57</v>
      </c>
    </row>
    <row r="47" spans="1:29" x14ac:dyDescent="0.3">
      <c r="B47" t="s">
        <v>133</v>
      </c>
      <c r="C47" t="s">
        <v>134</v>
      </c>
      <c r="D47">
        <v>1</v>
      </c>
      <c r="E47">
        <v>679</v>
      </c>
      <c r="F47" t="s">
        <v>135</v>
      </c>
      <c r="H47">
        <v>427363.93904469197</v>
      </c>
      <c r="I47">
        <v>400474.2</v>
      </c>
      <c r="M47" t="s">
        <v>12</v>
      </c>
      <c r="N47">
        <v>553.10434462440003</v>
      </c>
      <c r="O47">
        <v>589.79999999999995</v>
      </c>
      <c r="Q47">
        <v>6.6344905299999999</v>
      </c>
      <c r="R47">
        <v>-2.678014107249</v>
      </c>
      <c r="S47">
        <v>1.5198164841826201</v>
      </c>
      <c r="T47">
        <v>0.8112968275829</v>
      </c>
      <c r="V47">
        <v>2.0063490601959999</v>
      </c>
      <c r="W47">
        <v>67.5</v>
      </c>
      <c r="X47">
        <v>25203.7590446922</v>
      </c>
      <c r="Y47">
        <v>3</v>
      </c>
      <c r="Z47" t="s">
        <v>62</v>
      </c>
      <c r="AA47">
        <v>-1.4472290000000001E-2</v>
      </c>
      <c r="AB47">
        <v>2.664519003049</v>
      </c>
      <c r="AC47">
        <v>402160.18</v>
      </c>
    </row>
    <row r="48" spans="1:29" x14ac:dyDescent="0.3">
      <c r="B48" t="s">
        <v>136</v>
      </c>
      <c r="C48" t="s">
        <v>137</v>
      </c>
      <c r="D48">
        <v>0</v>
      </c>
      <c r="E48">
        <v>1470</v>
      </c>
      <c r="F48" t="s">
        <v>138</v>
      </c>
      <c r="H48">
        <v>312963</v>
      </c>
      <c r="I48">
        <v>312963</v>
      </c>
      <c r="M48" t="s">
        <v>10</v>
      </c>
      <c r="N48">
        <v>172.7116462585</v>
      </c>
      <c r="O48">
        <v>212.9</v>
      </c>
      <c r="Q48">
        <v>23.269046769999999</v>
      </c>
      <c r="R48">
        <v>7.3084677419349999</v>
      </c>
      <c r="S48">
        <v>9.0201674384993193</v>
      </c>
      <c r="T48">
        <v>9.0201674384993193</v>
      </c>
      <c r="V48">
        <v>1.469270014521</v>
      </c>
      <c r="W48">
        <v>75</v>
      </c>
      <c r="X48">
        <v>59076.88</v>
      </c>
      <c r="Y48">
        <v>4</v>
      </c>
      <c r="Z48" t="s">
        <v>130</v>
      </c>
      <c r="AA48">
        <v>0</v>
      </c>
      <c r="AB48">
        <v>2.4134533641339999</v>
      </c>
      <c r="AC48">
        <v>253886.12</v>
      </c>
    </row>
    <row r="49" spans="2:29" x14ac:dyDescent="0.3">
      <c r="B49" t="s">
        <v>139</v>
      </c>
      <c r="C49" t="s">
        <v>140</v>
      </c>
      <c r="D49">
        <v>0</v>
      </c>
      <c r="E49">
        <v>374.01799999999997</v>
      </c>
      <c r="F49" t="s">
        <v>141</v>
      </c>
      <c r="H49">
        <v>444453.06975999998</v>
      </c>
      <c r="I49">
        <v>444453.06975999998</v>
      </c>
      <c r="L49" t="s">
        <v>69</v>
      </c>
      <c r="M49" t="s">
        <v>10</v>
      </c>
      <c r="N49">
        <v>955.65555668440004</v>
      </c>
      <c r="O49">
        <v>1188.32</v>
      </c>
      <c r="Q49">
        <v>24.346056659999999</v>
      </c>
      <c r="R49">
        <v>15.650455956632999</v>
      </c>
      <c r="S49">
        <v>15.650455956632999</v>
      </c>
      <c r="T49">
        <v>15.650455956632999</v>
      </c>
      <c r="V49">
        <v>2.0865775451420001</v>
      </c>
      <c r="W49">
        <v>70</v>
      </c>
      <c r="X49">
        <v>87020.689759999907</v>
      </c>
      <c r="Y49">
        <v>3</v>
      </c>
      <c r="Z49" t="s">
        <v>142</v>
      </c>
      <c r="AA49">
        <v>0</v>
      </c>
      <c r="AB49">
        <v>2.6090658274259999</v>
      </c>
      <c r="AC49">
        <v>357432.38</v>
      </c>
    </row>
    <row r="50" spans="2:29" x14ac:dyDescent="0.3">
      <c r="B50" t="s">
        <v>143</v>
      </c>
      <c r="C50" t="s">
        <v>144</v>
      </c>
      <c r="D50">
        <v>0</v>
      </c>
      <c r="E50">
        <v>4744.21</v>
      </c>
      <c r="F50" t="s">
        <v>145</v>
      </c>
      <c r="H50">
        <v>461847.46136685199</v>
      </c>
      <c r="I50">
        <v>533154.31980000006</v>
      </c>
      <c r="L50" t="s">
        <v>69</v>
      </c>
      <c r="M50" t="s">
        <v>11</v>
      </c>
      <c r="N50">
        <v>67.116919360699995</v>
      </c>
      <c r="O50">
        <v>112.38</v>
      </c>
      <c r="Q50">
        <v>67.439151069999994</v>
      </c>
      <c r="R50">
        <v>19.046208274007999</v>
      </c>
      <c r="S50">
        <v>17.001561686621599</v>
      </c>
      <c r="T50">
        <v>19.046208274008102</v>
      </c>
      <c r="V50">
        <v>2.1682391409499999</v>
      </c>
      <c r="W50">
        <v>54.197961852793</v>
      </c>
      <c r="X50">
        <v>165202.84136685199</v>
      </c>
      <c r="Y50">
        <v>4</v>
      </c>
      <c r="Z50" t="s">
        <v>70</v>
      </c>
      <c r="AA50">
        <v>3.9220230000000002E-2</v>
      </c>
      <c r="AB50">
        <v>5.2688345248020001</v>
      </c>
      <c r="AC50">
        <v>296644.62</v>
      </c>
    </row>
    <row r="51" spans="2:29" x14ac:dyDescent="0.3">
      <c r="B51" t="s">
        <v>127</v>
      </c>
      <c r="C51" t="s">
        <v>146</v>
      </c>
      <c r="D51">
        <v>0</v>
      </c>
      <c r="E51">
        <v>11650</v>
      </c>
      <c r="F51" t="s">
        <v>147</v>
      </c>
      <c r="H51">
        <v>304824.23667136201</v>
      </c>
      <c r="I51">
        <v>260494</v>
      </c>
      <c r="M51" t="s">
        <v>13</v>
      </c>
      <c r="N51">
        <v>8.9278489269999994</v>
      </c>
      <c r="O51">
        <v>22.36</v>
      </c>
      <c r="Q51">
        <v>82.437126199999994</v>
      </c>
      <c r="R51">
        <v>33.308444869589003</v>
      </c>
      <c r="S51">
        <v>31.3445028451364</v>
      </c>
      <c r="T51">
        <v>34.217325795183001</v>
      </c>
      <c r="V51">
        <v>1.431060894229</v>
      </c>
      <c r="W51">
        <v>67.5</v>
      </c>
      <c r="X51">
        <v>133182.716671362</v>
      </c>
      <c r="Y51">
        <v>4</v>
      </c>
      <c r="Z51" t="s">
        <v>44</v>
      </c>
      <c r="AA51">
        <v>3.1565990000000002E-2</v>
      </c>
      <c r="AB51">
        <v>1.6298959096429999</v>
      </c>
      <c r="AC51">
        <v>130908.83</v>
      </c>
    </row>
    <row r="52" spans="2:29" x14ac:dyDescent="0.3">
      <c r="B52" t="s">
        <v>148</v>
      </c>
      <c r="C52" t="s">
        <v>149</v>
      </c>
      <c r="D52">
        <v>0</v>
      </c>
      <c r="E52">
        <v>2425</v>
      </c>
      <c r="F52" t="s">
        <v>150</v>
      </c>
      <c r="H52">
        <v>185425.94368944</v>
      </c>
      <c r="I52">
        <v>214054.75</v>
      </c>
      <c r="L52" t="s">
        <v>69</v>
      </c>
      <c r="M52" t="s">
        <v>11</v>
      </c>
      <c r="N52">
        <v>-10.814729896899999</v>
      </c>
      <c r="O52">
        <v>88.27</v>
      </c>
      <c r="Q52">
        <v>150.63324324000001</v>
      </c>
      <c r="R52">
        <v>4.713246670297</v>
      </c>
      <c r="S52">
        <v>2.9147720648246001</v>
      </c>
      <c r="T52">
        <v>4.7132466702968197</v>
      </c>
      <c r="V52">
        <v>0.87052072921500001</v>
      </c>
      <c r="W52">
        <v>67.747452315990998</v>
      </c>
      <c r="X52">
        <v>112091.34368943999</v>
      </c>
      <c r="Y52">
        <v>4</v>
      </c>
      <c r="Z52" t="s">
        <v>70</v>
      </c>
      <c r="AA52">
        <v>1.5752869999999999E-2</v>
      </c>
      <c r="AB52">
        <v>2.582492806032</v>
      </c>
      <c r="AC52">
        <v>-23270.35</v>
      </c>
    </row>
    <row r="53" spans="2:29" x14ac:dyDescent="0.3">
      <c r="B53" t="s">
        <v>151</v>
      </c>
      <c r="C53" t="s">
        <v>152</v>
      </c>
      <c r="D53">
        <v>0</v>
      </c>
      <c r="E53">
        <v>3845</v>
      </c>
      <c r="F53" t="s">
        <v>153</v>
      </c>
      <c r="H53">
        <v>228008.5</v>
      </c>
      <c r="I53">
        <v>228008.5</v>
      </c>
      <c r="M53" t="s">
        <v>10</v>
      </c>
      <c r="N53">
        <v>52.951659297799999</v>
      </c>
      <c r="O53">
        <v>59.3</v>
      </c>
      <c r="Q53">
        <v>11.988936300000001</v>
      </c>
      <c r="R53">
        <v>20.626525630593999</v>
      </c>
      <c r="S53">
        <v>21.749451301945602</v>
      </c>
      <c r="T53">
        <v>21.749451301945602</v>
      </c>
      <c r="V53">
        <v>1.0704334125949999</v>
      </c>
      <c r="W53">
        <v>75</v>
      </c>
      <c r="X53">
        <v>24409.37</v>
      </c>
      <c r="Y53">
        <v>5</v>
      </c>
      <c r="Z53" t="s">
        <v>154</v>
      </c>
      <c r="AA53">
        <v>0</v>
      </c>
      <c r="AB53">
        <v>1.3999734408610001</v>
      </c>
      <c r="AC53">
        <v>203599.13</v>
      </c>
    </row>
    <row r="54" spans="2:29" x14ac:dyDescent="0.3">
      <c r="B54" t="s">
        <v>127</v>
      </c>
      <c r="C54" t="s">
        <v>155</v>
      </c>
      <c r="D54">
        <v>0</v>
      </c>
      <c r="E54">
        <v>3610</v>
      </c>
      <c r="F54" t="s">
        <v>156</v>
      </c>
      <c r="H54">
        <v>222720.946155718</v>
      </c>
      <c r="I54">
        <v>2455161</v>
      </c>
      <c r="M54" t="s">
        <v>52</v>
      </c>
      <c r="N54">
        <v>515.42785595570001</v>
      </c>
      <c r="O54">
        <v>680.1</v>
      </c>
      <c r="Q54">
        <v>24.760018500000001</v>
      </c>
      <c r="R54">
        <v>24.262723376655</v>
      </c>
      <c r="S54">
        <v>25.987677498479801</v>
      </c>
      <c r="T54">
        <v>23.752910793147802</v>
      </c>
      <c r="V54">
        <v>1.045609889324</v>
      </c>
      <c r="W54">
        <v>63.75</v>
      </c>
      <c r="X54">
        <v>44223.9461557178</v>
      </c>
      <c r="Y54">
        <v>5</v>
      </c>
      <c r="Z54" t="s">
        <v>53</v>
      </c>
      <c r="AA54">
        <v>-1.309111E-2</v>
      </c>
      <c r="AB54">
        <v>1.3612239146039999</v>
      </c>
      <c r="AC54">
        <v>165964.44</v>
      </c>
    </row>
    <row r="55" spans="2:29" x14ac:dyDescent="0.3">
      <c r="B55" t="s">
        <v>76</v>
      </c>
      <c r="C55" t="s">
        <v>157</v>
      </c>
      <c r="D55">
        <v>0</v>
      </c>
      <c r="E55">
        <v>388</v>
      </c>
      <c r="F55" t="s">
        <v>158</v>
      </c>
      <c r="H55">
        <v>96689.600000000006</v>
      </c>
      <c r="I55">
        <v>96689.600000000006</v>
      </c>
      <c r="M55" t="s">
        <v>10</v>
      </c>
      <c r="N55">
        <v>287.19909793810001</v>
      </c>
      <c r="O55">
        <v>249.2</v>
      </c>
      <c r="Q55">
        <v>-4.3768846100000003</v>
      </c>
      <c r="R55">
        <v>-6.3861758076630002</v>
      </c>
      <c r="S55">
        <v>-3.7326579097366901</v>
      </c>
      <c r="T55">
        <v>-3.7326579097366901</v>
      </c>
      <c r="V55">
        <v>0.45392947407899997</v>
      </c>
      <c r="W55">
        <v>75</v>
      </c>
      <c r="X55">
        <v>-4425.7</v>
      </c>
      <c r="Y55">
        <v>4</v>
      </c>
      <c r="Z55" t="s">
        <v>99</v>
      </c>
      <c r="AA55">
        <v>0</v>
      </c>
      <c r="AB55">
        <v>0.68446772580299997</v>
      </c>
      <c r="AC55">
        <v>111433.25</v>
      </c>
    </row>
    <row r="56" spans="2:29" x14ac:dyDescent="0.3">
      <c r="B56" t="s">
        <v>159</v>
      </c>
      <c r="C56" t="s">
        <v>160</v>
      </c>
      <c r="D56">
        <v>0</v>
      </c>
      <c r="E56">
        <v>26687.922999999999</v>
      </c>
      <c r="F56" t="s">
        <v>161</v>
      </c>
      <c r="H56">
        <v>590957.44466854504</v>
      </c>
      <c r="I56">
        <v>553774.40225000004</v>
      </c>
      <c r="L56" t="s">
        <v>69</v>
      </c>
      <c r="M56" t="s">
        <v>12</v>
      </c>
      <c r="N56">
        <v>18.5766041067</v>
      </c>
      <c r="O56">
        <v>20.75</v>
      </c>
      <c r="Q56">
        <v>11.699640479999999</v>
      </c>
      <c r="R56">
        <v>7.7337867466189998</v>
      </c>
      <c r="S56">
        <v>8.8716054387473893</v>
      </c>
      <c r="T56">
        <v>8.0314132633524196</v>
      </c>
      <c r="V56">
        <v>2.7743728597609998</v>
      </c>
      <c r="W56">
        <v>63</v>
      </c>
      <c r="X56">
        <v>55878.484668544799</v>
      </c>
      <c r="Y56">
        <v>3</v>
      </c>
      <c r="Z56" t="s">
        <v>62</v>
      </c>
      <c r="AA56">
        <v>-3.909062E-2</v>
      </c>
      <c r="AB56">
        <v>2.838735045025</v>
      </c>
      <c r="AC56">
        <v>535078.96</v>
      </c>
    </row>
    <row r="57" spans="2:29" x14ac:dyDescent="0.3">
      <c r="B57" t="s">
        <v>162</v>
      </c>
      <c r="C57" t="s">
        <v>163</v>
      </c>
      <c r="D57">
        <v>0</v>
      </c>
      <c r="E57">
        <v>15076.571</v>
      </c>
      <c r="F57" t="s">
        <v>164</v>
      </c>
      <c r="H57">
        <v>275042.91540688003</v>
      </c>
      <c r="I57">
        <v>235043.74189</v>
      </c>
      <c r="L57" t="s">
        <v>69</v>
      </c>
      <c r="M57" t="s">
        <v>13</v>
      </c>
      <c r="N57">
        <v>16.4331949221</v>
      </c>
      <c r="O57">
        <v>15.59</v>
      </c>
      <c r="Q57">
        <v>-5.1310468</v>
      </c>
      <c r="R57">
        <v>-0.86965250468999999</v>
      </c>
      <c r="S57">
        <v>-4.4380314754719699</v>
      </c>
      <c r="T57">
        <v>-2.6659072302714901</v>
      </c>
      <c r="V57">
        <v>1.291246276121</v>
      </c>
      <c r="W57">
        <v>0</v>
      </c>
      <c r="X57">
        <v>-9434.5245931196005</v>
      </c>
      <c r="Y57">
        <v>3</v>
      </c>
      <c r="Z57" t="s">
        <v>70</v>
      </c>
      <c r="AA57">
        <v>2.5423910000000001E-2</v>
      </c>
      <c r="AB57">
        <v>1.277090736671</v>
      </c>
      <c r="AC57">
        <v>284477.44</v>
      </c>
    </row>
    <row r="58" spans="2:29" x14ac:dyDescent="0.3">
      <c r="B58" t="s">
        <v>159</v>
      </c>
      <c r="C58" t="s">
        <v>165</v>
      </c>
      <c r="D58">
        <v>0</v>
      </c>
      <c r="E58">
        <v>1999.8</v>
      </c>
      <c r="F58" t="s">
        <v>166</v>
      </c>
      <c r="H58">
        <v>161981.40780743401</v>
      </c>
      <c r="I58">
        <v>186990.49908000001</v>
      </c>
      <c r="L58" t="s">
        <v>69</v>
      </c>
      <c r="M58" t="s">
        <v>11</v>
      </c>
      <c r="N58">
        <v>101.13511351139999</v>
      </c>
      <c r="O58">
        <v>93.504599999999996</v>
      </c>
      <c r="Q58">
        <v>-7.5448706699999999</v>
      </c>
      <c r="R58">
        <v>-4.4843121602349996</v>
      </c>
      <c r="S58">
        <v>-7.5448701207138003</v>
      </c>
      <c r="T58">
        <v>-5.3178666886016996</v>
      </c>
      <c r="V58">
        <v>0.76045547045899997</v>
      </c>
      <c r="W58">
        <v>67.747452315990998</v>
      </c>
      <c r="X58">
        <v>-9097.7621925663007</v>
      </c>
      <c r="Y58">
        <v>4</v>
      </c>
      <c r="Z58" t="s">
        <v>70</v>
      </c>
      <c r="AA58">
        <v>1.9266109999999999E-2</v>
      </c>
      <c r="AB58">
        <v>1.073545945787</v>
      </c>
      <c r="AC58">
        <v>171079.17</v>
      </c>
    </row>
    <row r="59" spans="2:29" x14ac:dyDescent="0.3">
      <c r="B59" t="s">
        <v>66</v>
      </c>
      <c r="C59" t="s">
        <v>167</v>
      </c>
      <c r="D59">
        <v>0</v>
      </c>
      <c r="E59">
        <v>27000</v>
      </c>
      <c r="F59" t="s">
        <v>168</v>
      </c>
      <c r="H59">
        <v>302979.52842873603</v>
      </c>
      <c r="I59">
        <v>349758</v>
      </c>
      <c r="L59" t="s">
        <v>69</v>
      </c>
      <c r="M59" t="s">
        <v>11</v>
      </c>
      <c r="N59">
        <v>9.9561066667000002</v>
      </c>
      <c r="O59">
        <v>12.954000000000001</v>
      </c>
      <c r="Q59">
        <v>30.111100990000001</v>
      </c>
      <c r="R59">
        <v>29.830339385321999</v>
      </c>
      <c r="S59">
        <v>30.111098907313401</v>
      </c>
      <c r="T59">
        <v>30.434914640825799</v>
      </c>
      <c r="V59">
        <v>1.422400527008</v>
      </c>
      <c r="W59">
        <v>67.747452315990998</v>
      </c>
      <c r="X59">
        <v>70695.458428736107</v>
      </c>
      <c r="Y59">
        <v>4</v>
      </c>
      <c r="Z59" t="s">
        <v>70</v>
      </c>
      <c r="AA59">
        <v>8.7963599999999996E-3</v>
      </c>
      <c r="AB59">
        <v>1.909445992118</v>
      </c>
      <c r="AC59">
        <v>232284.07</v>
      </c>
    </row>
    <row r="60" spans="2:29" x14ac:dyDescent="0.3">
      <c r="B60" t="s">
        <v>66</v>
      </c>
      <c r="C60" t="s">
        <v>169</v>
      </c>
      <c r="D60">
        <v>0</v>
      </c>
      <c r="E60">
        <v>15600</v>
      </c>
      <c r="F60" t="s">
        <v>170</v>
      </c>
      <c r="H60">
        <v>165297.60000000001</v>
      </c>
      <c r="I60">
        <v>165297.60000000001</v>
      </c>
      <c r="L60" t="s">
        <v>69</v>
      </c>
      <c r="M60" t="s">
        <v>10</v>
      </c>
      <c r="N60">
        <v>9.6335839744000005</v>
      </c>
      <c r="O60">
        <v>10.596</v>
      </c>
      <c r="Q60">
        <v>9.9902178500000005</v>
      </c>
      <c r="R60">
        <v>15.412264459209</v>
      </c>
      <c r="S60">
        <v>9.9902178483379807</v>
      </c>
      <c r="T60">
        <v>9.9902178483379807</v>
      </c>
      <c r="V60">
        <v>0.77602402569100004</v>
      </c>
      <c r="W60">
        <v>60</v>
      </c>
      <c r="X60">
        <v>15013.69</v>
      </c>
      <c r="Y60">
        <v>3</v>
      </c>
      <c r="Z60" t="s">
        <v>142</v>
      </c>
      <c r="AA60">
        <v>0</v>
      </c>
      <c r="AB60">
        <v>1.1124173909520001</v>
      </c>
      <c r="AC60">
        <v>150283.91</v>
      </c>
    </row>
    <row r="61" spans="2:29" x14ac:dyDescent="0.3">
      <c r="B61" t="s">
        <v>73</v>
      </c>
      <c r="C61" t="s">
        <v>171</v>
      </c>
      <c r="D61">
        <v>0</v>
      </c>
      <c r="E61">
        <v>4800</v>
      </c>
      <c r="F61" t="s">
        <v>172</v>
      </c>
      <c r="H61">
        <v>232392</v>
      </c>
      <c r="I61">
        <v>232392</v>
      </c>
      <c r="L61" t="s">
        <v>69</v>
      </c>
      <c r="M61" t="s">
        <v>10</v>
      </c>
      <c r="N61">
        <v>53.095420833299997</v>
      </c>
      <c r="O61">
        <v>48.414999999999999</v>
      </c>
      <c r="Q61">
        <v>-8.8151120400000007</v>
      </c>
      <c r="R61">
        <v>7.5291504719600004</v>
      </c>
      <c r="S61">
        <v>-8.8151120376748899</v>
      </c>
      <c r="T61">
        <v>-8.8151120376748899</v>
      </c>
      <c r="V61">
        <v>1.09101266672</v>
      </c>
      <c r="W61">
        <v>75</v>
      </c>
      <c r="X61">
        <v>-22466.02</v>
      </c>
      <c r="Y61">
        <v>5</v>
      </c>
      <c r="Z61" t="s">
        <v>70</v>
      </c>
      <c r="AA61">
        <v>0</v>
      </c>
      <c r="AB61">
        <v>2.8500278826860002</v>
      </c>
      <c r="AC61">
        <v>254858.02</v>
      </c>
    </row>
    <row r="62" spans="2:29" x14ac:dyDescent="0.3">
      <c r="B62" t="s">
        <v>173</v>
      </c>
      <c r="C62" t="s">
        <v>174</v>
      </c>
      <c r="D62">
        <v>0</v>
      </c>
      <c r="E62">
        <v>2651.5149999999999</v>
      </c>
      <c r="F62" t="s">
        <v>175</v>
      </c>
      <c r="H62">
        <v>125249.27320737</v>
      </c>
      <c r="I62">
        <v>144587.11295000001</v>
      </c>
      <c r="L62" t="s">
        <v>69</v>
      </c>
      <c r="M62" t="s">
        <v>11</v>
      </c>
      <c r="N62">
        <v>53.393999279699997</v>
      </c>
      <c r="O62">
        <v>54.53</v>
      </c>
      <c r="Q62">
        <v>2.1275812599999999</v>
      </c>
      <c r="R62">
        <v>5.040596214792</v>
      </c>
      <c r="S62">
        <v>2.1275808340410101</v>
      </c>
      <c r="T62">
        <v>1.25911546101887</v>
      </c>
      <c r="V62">
        <v>0.58800881083099998</v>
      </c>
      <c r="W62">
        <v>0</v>
      </c>
      <c r="X62">
        <v>1557.4232073702001</v>
      </c>
      <c r="Y62">
        <v>4</v>
      </c>
      <c r="Z62" t="s">
        <v>176</v>
      </c>
      <c r="AA62">
        <v>-4.9823999999999997E-3</v>
      </c>
      <c r="AB62">
        <v>0.89337220172200005</v>
      </c>
      <c r="AC62">
        <v>123691.85</v>
      </c>
    </row>
    <row r="63" spans="2:29" x14ac:dyDescent="0.3">
      <c r="B63" t="s">
        <v>76</v>
      </c>
      <c r="C63" t="s">
        <v>177</v>
      </c>
      <c r="D63">
        <v>0</v>
      </c>
      <c r="E63">
        <v>92800</v>
      </c>
      <c r="F63" t="s">
        <v>178</v>
      </c>
      <c r="H63">
        <v>125207.128014684</v>
      </c>
      <c r="I63">
        <v>106998.39999999999</v>
      </c>
      <c r="M63" t="s">
        <v>13</v>
      </c>
      <c r="N63">
        <v>1.1070389008999999</v>
      </c>
      <c r="O63">
        <v>1.153</v>
      </c>
      <c r="Q63">
        <v>4.1517149099999999</v>
      </c>
      <c r="R63">
        <v>19.932706377306001</v>
      </c>
      <c r="S63">
        <v>5.5848607571168403</v>
      </c>
      <c r="T63">
        <v>6.4340331503067496</v>
      </c>
      <c r="V63">
        <v>0.58781095144200002</v>
      </c>
      <c r="W63">
        <v>67.5</v>
      </c>
      <c r="X63">
        <v>5950.1580146838996</v>
      </c>
      <c r="Y63">
        <v>4</v>
      </c>
      <c r="Z63" t="s">
        <v>44</v>
      </c>
      <c r="AA63">
        <v>5.4391099999999996E-3</v>
      </c>
      <c r="AB63">
        <v>1.257159892857</v>
      </c>
      <c r="AC63">
        <v>119256.97</v>
      </c>
    </row>
    <row r="64" spans="2:29" x14ac:dyDescent="0.3">
      <c r="B64" t="s">
        <v>179</v>
      </c>
      <c r="C64" t="s">
        <v>180</v>
      </c>
      <c r="D64">
        <v>0</v>
      </c>
      <c r="E64">
        <v>530000</v>
      </c>
      <c r="F64" t="s">
        <v>181</v>
      </c>
      <c r="G64">
        <v>0</v>
      </c>
      <c r="H64">
        <v>434552.36345882999</v>
      </c>
      <c r="I64">
        <v>501645</v>
      </c>
      <c r="K64">
        <v>0</v>
      </c>
      <c r="L64" t="s">
        <v>69</v>
      </c>
      <c r="M64" t="s">
        <v>11</v>
      </c>
      <c r="N64">
        <v>100</v>
      </c>
      <c r="O64">
        <v>94.65</v>
      </c>
      <c r="Q64">
        <v>-5.35</v>
      </c>
      <c r="R64">
        <v>-4.9165653164350003</v>
      </c>
      <c r="S64">
        <v>-5.3499995458009</v>
      </c>
      <c r="T64">
        <v>-4.3210826838307899</v>
      </c>
      <c r="U64" t="s">
        <v>182</v>
      </c>
      <c r="V64">
        <v>2.0400966164350001</v>
      </c>
      <c r="W64">
        <v>49.681465031727001</v>
      </c>
      <c r="X64">
        <v>-19625.396541170401</v>
      </c>
      <c r="Y64">
        <v>5</v>
      </c>
      <c r="Z64" t="s">
        <v>183</v>
      </c>
      <c r="AA64">
        <v>2.2344280000000001E-2</v>
      </c>
      <c r="AB64">
        <v>-1.68288842518</v>
      </c>
      <c r="AC64">
        <v>454177.76</v>
      </c>
    </row>
    <row r="65" spans="1:29" x14ac:dyDescent="0.3">
      <c r="A65" t="s">
        <v>184</v>
      </c>
    </row>
    <row r="66" spans="1:29" x14ac:dyDescent="0.3">
      <c r="B66" t="s">
        <v>185</v>
      </c>
      <c r="C66" t="s">
        <v>186</v>
      </c>
      <c r="D66">
        <v>0</v>
      </c>
      <c r="E66">
        <v>200000</v>
      </c>
      <c r="F66" t="s">
        <v>187</v>
      </c>
      <c r="G66">
        <v>8</v>
      </c>
      <c r="H66">
        <v>174325.10564733</v>
      </c>
      <c r="I66">
        <v>201240</v>
      </c>
      <c r="K66">
        <v>0</v>
      </c>
      <c r="L66" t="s">
        <v>69</v>
      </c>
      <c r="M66" t="s">
        <v>11</v>
      </c>
      <c r="N66">
        <v>100</v>
      </c>
      <c r="O66">
        <v>100.62</v>
      </c>
      <c r="Q66">
        <v>0.62</v>
      </c>
      <c r="R66">
        <v>-0.57661725970800004</v>
      </c>
      <c r="S66">
        <v>0.62000229594853995</v>
      </c>
      <c r="T66">
        <v>-0.57661499106404002</v>
      </c>
      <c r="U66" t="s">
        <v>188</v>
      </c>
      <c r="V66">
        <v>0.81840553198300003</v>
      </c>
      <c r="W66">
        <v>0</v>
      </c>
      <c r="X66">
        <v>-1011.01435267</v>
      </c>
      <c r="Y66">
        <v>3</v>
      </c>
      <c r="Z66" t="s">
        <v>189</v>
      </c>
      <c r="AA66">
        <v>-1.022412E-2</v>
      </c>
      <c r="AB66">
        <v>-1.8555298769E-2</v>
      </c>
      <c r="AC66">
        <v>175336.12</v>
      </c>
    </row>
    <row r="67" spans="1:29" x14ac:dyDescent="0.3">
      <c r="B67" t="s">
        <v>190</v>
      </c>
      <c r="C67" t="s">
        <v>191</v>
      </c>
      <c r="D67">
        <v>0</v>
      </c>
      <c r="E67">
        <v>200000</v>
      </c>
      <c r="F67" t="s">
        <v>192</v>
      </c>
      <c r="G67">
        <v>9.4499999999999993</v>
      </c>
      <c r="H67">
        <v>174186.50488752301</v>
      </c>
      <c r="I67">
        <v>201080</v>
      </c>
      <c r="K67">
        <v>0</v>
      </c>
      <c r="L67" t="s">
        <v>69</v>
      </c>
      <c r="M67" t="s">
        <v>11</v>
      </c>
      <c r="N67">
        <v>100</v>
      </c>
      <c r="O67">
        <v>100.54</v>
      </c>
      <c r="Q67">
        <v>0.54</v>
      </c>
      <c r="R67">
        <v>2.0826011022339999</v>
      </c>
      <c r="S67">
        <v>5.5145158047115199</v>
      </c>
      <c r="T67">
        <v>7.3584219163040299</v>
      </c>
      <c r="U67" t="s">
        <v>193</v>
      </c>
      <c r="V67">
        <v>0.817754841836</v>
      </c>
      <c r="W67">
        <v>0</v>
      </c>
      <c r="X67">
        <v>4037.5748875230001</v>
      </c>
      <c r="Y67">
        <v>3</v>
      </c>
      <c r="Z67" t="s">
        <v>84</v>
      </c>
      <c r="AA67">
        <v>1.5732010000000001E-2</v>
      </c>
      <c r="AB67">
        <v>-4.5900057042000002E-2</v>
      </c>
      <c r="AC67">
        <v>170148.93</v>
      </c>
    </row>
    <row r="68" spans="1:29" x14ac:dyDescent="0.3">
      <c r="B68" t="s">
        <v>194</v>
      </c>
      <c r="C68" t="s">
        <v>195</v>
      </c>
      <c r="D68">
        <v>0</v>
      </c>
      <c r="E68">
        <v>227000</v>
      </c>
      <c r="F68" t="s">
        <v>196</v>
      </c>
      <c r="G68">
        <v>6</v>
      </c>
      <c r="H68">
        <v>248628.96799988599</v>
      </c>
      <c r="I68">
        <v>232985.23333333299</v>
      </c>
      <c r="J68">
        <v>4.0968685269999998</v>
      </c>
      <c r="K68">
        <v>0.83888888890000002</v>
      </c>
      <c r="L68" t="s">
        <v>69</v>
      </c>
      <c r="M68" t="s">
        <v>12</v>
      </c>
      <c r="N68">
        <v>100</v>
      </c>
      <c r="O68">
        <v>101.67</v>
      </c>
      <c r="P68">
        <v>0.84109589080000002</v>
      </c>
      <c r="Q68">
        <v>1.67</v>
      </c>
      <c r="R68">
        <v>-0.79395793315399998</v>
      </c>
      <c r="S68">
        <v>2.6366667440738301</v>
      </c>
      <c r="T68">
        <v>0.17228269816336</v>
      </c>
      <c r="U68" t="s">
        <v>197</v>
      </c>
      <c r="V68">
        <v>1.1672404962359999</v>
      </c>
      <c r="W68">
        <v>0</v>
      </c>
      <c r="X68">
        <v>-1914.0632910744</v>
      </c>
      <c r="Y68">
        <v>3</v>
      </c>
      <c r="Z68" t="s">
        <v>70</v>
      </c>
      <c r="AA68">
        <v>-2.9696219999999999E-2</v>
      </c>
      <c r="AB68">
        <v>0.17613372159099999</v>
      </c>
      <c r="AC68">
        <v>248201.36</v>
      </c>
    </row>
    <row r="69" spans="1:29" x14ac:dyDescent="0.3">
      <c r="B69" t="s">
        <v>198</v>
      </c>
      <c r="C69" t="s">
        <v>199</v>
      </c>
      <c r="D69">
        <v>0</v>
      </c>
      <c r="E69">
        <v>200000</v>
      </c>
      <c r="F69" t="s">
        <v>200</v>
      </c>
      <c r="G69">
        <v>0</v>
      </c>
      <c r="H69">
        <v>182485.22538097101</v>
      </c>
      <c r="I69">
        <v>210660</v>
      </c>
      <c r="K69">
        <v>0</v>
      </c>
      <c r="L69" t="s">
        <v>69</v>
      </c>
      <c r="M69" t="s">
        <v>11</v>
      </c>
      <c r="N69">
        <v>100</v>
      </c>
      <c r="O69">
        <v>105.33</v>
      </c>
      <c r="Q69">
        <v>5.33</v>
      </c>
      <c r="R69">
        <v>7.8175871509529999</v>
      </c>
      <c r="S69">
        <v>5.9657947686116302</v>
      </c>
      <c r="T69">
        <v>7.8175871509531802</v>
      </c>
      <c r="U69" t="s">
        <v>201</v>
      </c>
      <c r="V69">
        <v>0.85671491436799996</v>
      </c>
      <c r="W69">
        <v>63.230955494924999</v>
      </c>
      <c r="X69">
        <v>8948.8953809707</v>
      </c>
      <c r="Y69">
        <v>4</v>
      </c>
      <c r="Z69" t="s">
        <v>84</v>
      </c>
      <c r="AA69">
        <v>1.5501529999999999E-2</v>
      </c>
      <c r="AB69">
        <v>1.3260929975410001</v>
      </c>
      <c r="AC69">
        <v>173536.33</v>
      </c>
    </row>
    <row r="70" spans="1:29" x14ac:dyDescent="0.3">
      <c r="B70" t="s">
        <v>202</v>
      </c>
      <c r="C70" t="s">
        <v>203</v>
      </c>
      <c r="D70">
        <v>0</v>
      </c>
      <c r="E70">
        <v>150000</v>
      </c>
      <c r="F70" t="s">
        <v>204</v>
      </c>
      <c r="G70">
        <v>0</v>
      </c>
      <c r="H70">
        <v>179760.53271865801</v>
      </c>
      <c r="I70">
        <v>168450</v>
      </c>
      <c r="K70">
        <v>0</v>
      </c>
      <c r="L70" t="s">
        <v>69</v>
      </c>
      <c r="M70" t="s">
        <v>12</v>
      </c>
      <c r="N70">
        <v>99.55</v>
      </c>
      <c r="O70">
        <v>112.3</v>
      </c>
      <c r="Q70">
        <v>12.807634350000001</v>
      </c>
      <c r="R70">
        <v>6.0645273705029998</v>
      </c>
      <c r="S70">
        <v>6.8099676621645999</v>
      </c>
      <c r="T70">
        <v>6.06452737050276</v>
      </c>
      <c r="U70" t="s">
        <v>205</v>
      </c>
      <c r="V70">
        <v>0.84392327693000002</v>
      </c>
      <c r="W70">
        <v>0</v>
      </c>
      <c r="X70">
        <v>18862.112718658002</v>
      </c>
      <c r="Y70">
        <v>4</v>
      </c>
      <c r="Z70" t="s">
        <v>183</v>
      </c>
      <c r="AA70">
        <v>-6.2378499999999996E-3</v>
      </c>
      <c r="AB70">
        <v>1.6594852199350001</v>
      </c>
      <c r="AC70">
        <v>160898.42000000001</v>
      </c>
    </row>
    <row r="71" spans="1:29" x14ac:dyDescent="0.3">
      <c r="B71" t="s">
        <v>206</v>
      </c>
      <c r="C71" t="s">
        <v>207</v>
      </c>
      <c r="D71">
        <v>0</v>
      </c>
      <c r="E71">
        <v>250000</v>
      </c>
      <c r="F71" t="s">
        <v>208</v>
      </c>
      <c r="G71">
        <v>0</v>
      </c>
      <c r="H71">
        <v>212578.91535407901</v>
      </c>
      <c r="I71">
        <v>245400</v>
      </c>
      <c r="K71">
        <v>0</v>
      </c>
      <c r="L71" t="s">
        <v>69</v>
      </c>
      <c r="M71" t="s">
        <v>11</v>
      </c>
      <c r="N71">
        <v>99.6</v>
      </c>
      <c r="O71">
        <v>98.16</v>
      </c>
      <c r="Q71">
        <v>-1.4457831299999999</v>
      </c>
      <c r="R71">
        <v>1.1908644006869999</v>
      </c>
      <c r="S71">
        <v>-0.54711246200605002</v>
      </c>
      <c r="T71">
        <v>1.19086440068696</v>
      </c>
      <c r="U71" t="s">
        <v>209</v>
      </c>
      <c r="V71">
        <v>0.99799601246500003</v>
      </c>
      <c r="W71">
        <v>72.263949137056997</v>
      </c>
      <c r="X71">
        <v>-1096.2846459213999</v>
      </c>
      <c r="Y71">
        <v>3</v>
      </c>
      <c r="Z71" t="s">
        <v>210</v>
      </c>
      <c r="AA71">
        <v>1.8061790000000001E-2</v>
      </c>
      <c r="AB71">
        <v>1.6502233817E-2</v>
      </c>
      <c r="AC71">
        <v>213675.2</v>
      </c>
    </row>
    <row r="72" spans="1:29" x14ac:dyDescent="0.3">
      <c r="A72" t="s">
        <v>211</v>
      </c>
    </row>
    <row r="73" spans="1:29" x14ac:dyDescent="0.3">
      <c r="B73" t="s">
        <v>212</v>
      </c>
      <c r="C73" t="s">
        <v>213</v>
      </c>
      <c r="D73">
        <v>0</v>
      </c>
      <c r="E73">
        <v>10000</v>
      </c>
      <c r="F73" t="s">
        <v>214</v>
      </c>
      <c r="H73">
        <v>8662.5474879412595</v>
      </c>
      <c r="I73">
        <v>10000</v>
      </c>
      <c r="L73" t="s">
        <v>69</v>
      </c>
      <c r="M73" t="s">
        <v>11</v>
      </c>
      <c r="N73">
        <v>100.15</v>
      </c>
      <c r="O73">
        <v>100</v>
      </c>
      <c r="Q73">
        <v>-0.14977534000000001</v>
      </c>
      <c r="R73">
        <v>1.7475378601039999</v>
      </c>
      <c r="S73">
        <v>9.5331289319699995E-3</v>
      </c>
      <c r="T73">
        <v>1.80871804506308</v>
      </c>
      <c r="V73">
        <v>4.0668134166999999E-2</v>
      </c>
      <c r="W73">
        <v>0</v>
      </c>
      <c r="X73">
        <v>153.8974879413</v>
      </c>
      <c r="Z73" t="s">
        <v>70</v>
      </c>
      <c r="AA73">
        <v>7.5728999999999998E-4</v>
      </c>
      <c r="AC73">
        <v>8508.65</v>
      </c>
    </row>
    <row r="74" spans="1:29" x14ac:dyDescent="0.3">
      <c r="B74" t="s">
        <v>215</v>
      </c>
      <c r="C74" t="s">
        <v>216</v>
      </c>
      <c r="D74">
        <v>0</v>
      </c>
      <c r="E74">
        <v>333333.33</v>
      </c>
      <c r="F74" t="s">
        <v>217</v>
      </c>
      <c r="H74">
        <v>271232.66395433998</v>
      </c>
      <c r="I74">
        <v>271232.66395433998</v>
      </c>
      <c r="L74" t="s">
        <v>69</v>
      </c>
      <c r="M74" t="s">
        <v>10</v>
      </c>
      <c r="N74">
        <v>89.609718896100006</v>
      </c>
      <c r="O74">
        <v>81.369799999999998</v>
      </c>
      <c r="Q74">
        <v>-9.1953406399999995</v>
      </c>
      <c r="R74">
        <v>0</v>
      </c>
      <c r="S74">
        <v>0</v>
      </c>
      <c r="T74">
        <v>0</v>
      </c>
      <c r="V74">
        <v>1.2733582567490001</v>
      </c>
      <c r="W74">
        <v>0</v>
      </c>
      <c r="X74">
        <v>-27466.39604566</v>
      </c>
      <c r="Y74">
        <v>5</v>
      </c>
      <c r="Z74" t="s">
        <v>70</v>
      </c>
      <c r="AA74">
        <v>0</v>
      </c>
      <c r="AC74">
        <v>298699.06</v>
      </c>
    </row>
    <row r="75" spans="1:29" x14ac:dyDescent="0.3">
      <c r="B75" t="s">
        <v>212</v>
      </c>
      <c r="C75" t="s">
        <v>218</v>
      </c>
      <c r="D75">
        <v>0</v>
      </c>
      <c r="E75">
        <v>200000</v>
      </c>
      <c r="F75" t="s">
        <v>219</v>
      </c>
      <c r="H75">
        <v>0</v>
      </c>
      <c r="I75">
        <v>0</v>
      </c>
      <c r="L75" t="s">
        <v>69</v>
      </c>
      <c r="M75" t="s">
        <v>11</v>
      </c>
      <c r="N75">
        <v>0</v>
      </c>
      <c r="O75">
        <v>0</v>
      </c>
      <c r="S75">
        <v>0</v>
      </c>
      <c r="T75">
        <v>0</v>
      </c>
      <c r="V75">
        <v>0</v>
      </c>
      <c r="X75">
        <v>0</v>
      </c>
      <c r="Y75">
        <v>5</v>
      </c>
      <c r="Z75" t="s">
        <v>176</v>
      </c>
      <c r="AA75">
        <v>0</v>
      </c>
      <c r="AB75">
        <v>0</v>
      </c>
      <c r="AC75">
        <v>0</v>
      </c>
    </row>
    <row r="76" spans="1:29" x14ac:dyDescent="0.3">
      <c r="B76" t="s">
        <v>220</v>
      </c>
      <c r="C76" t="s">
        <v>221</v>
      </c>
      <c r="D76">
        <v>0</v>
      </c>
      <c r="E76">
        <v>1000000</v>
      </c>
      <c r="F76" t="s">
        <v>222</v>
      </c>
      <c r="H76">
        <v>0</v>
      </c>
      <c r="I76">
        <v>0</v>
      </c>
      <c r="L76" t="s">
        <v>69</v>
      </c>
      <c r="M76" t="s">
        <v>11</v>
      </c>
      <c r="N76">
        <v>0</v>
      </c>
      <c r="O76">
        <v>0</v>
      </c>
      <c r="S76">
        <v>0</v>
      </c>
      <c r="T76">
        <v>0</v>
      </c>
      <c r="V76">
        <v>0</v>
      </c>
      <c r="X76">
        <v>0</v>
      </c>
      <c r="Z76" t="s">
        <v>58</v>
      </c>
      <c r="AA76">
        <v>0</v>
      </c>
      <c r="AC76">
        <v>0</v>
      </c>
    </row>
    <row r="77" spans="1:29" x14ac:dyDescent="0.3">
      <c r="B77" t="s">
        <v>220</v>
      </c>
      <c r="C77" t="s">
        <v>223</v>
      </c>
      <c r="D77">
        <v>0</v>
      </c>
      <c r="E77">
        <v>38092.86</v>
      </c>
      <c r="F77" t="s">
        <v>224</v>
      </c>
      <c r="H77">
        <v>32998.120870149804</v>
      </c>
      <c r="I77">
        <v>38092.86</v>
      </c>
      <c r="L77" t="s">
        <v>69</v>
      </c>
      <c r="M77" t="s">
        <v>11</v>
      </c>
      <c r="N77">
        <v>100.1500018639</v>
      </c>
      <c r="O77">
        <v>100</v>
      </c>
      <c r="Q77">
        <v>-0.1497772</v>
      </c>
      <c r="R77">
        <v>1.7475378601039999</v>
      </c>
      <c r="S77">
        <v>60.462165044498903</v>
      </c>
      <c r="T77">
        <v>61.024159446993202</v>
      </c>
      <c r="V77">
        <v>0.15491655412999999</v>
      </c>
      <c r="W77">
        <v>0</v>
      </c>
      <c r="X77">
        <v>-130.61912985020001</v>
      </c>
      <c r="Z77" t="s">
        <v>58</v>
      </c>
      <c r="AA77">
        <v>9.3296000000000004E-4</v>
      </c>
      <c r="AC77">
        <v>33128.74</v>
      </c>
    </row>
    <row r="78" spans="1:29" x14ac:dyDescent="0.3">
      <c r="B78" t="s">
        <v>220</v>
      </c>
      <c r="C78" t="s">
        <v>225</v>
      </c>
      <c r="D78">
        <v>0</v>
      </c>
      <c r="E78">
        <v>896777.92</v>
      </c>
      <c r="F78" t="s">
        <v>226</v>
      </c>
      <c r="H78">
        <v>1268546.3725646599</v>
      </c>
      <c r="I78">
        <v>1464403.36902112</v>
      </c>
      <c r="L78" t="s">
        <v>69</v>
      </c>
      <c r="M78" t="s">
        <v>11</v>
      </c>
      <c r="N78">
        <v>101.3673206851</v>
      </c>
      <c r="O78">
        <v>163.2961</v>
      </c>
      <c r="Q78">
        <v>61.093436130000001</v>
      </c>
      <c r="R78">
        <v>3.5289374679169998</v>
      </c>
      <c r="S78">
        <v>1.7293564254566001</v>
      </c>
      <c r="T78">
        <v>3.4644911595179901</v>
      </c>
      <c r="V78">
        <v>5.9554552686379996</v>
      </c>
      <c r="W78">
        <v>0</v>
      </c>
      <c r="X78">
        <v>424569.73256466299</v>
      </c>
      <c r="Z78" t="s">
        <v>58</v>
      </c>
      <c r="AA78">
        <v>0.10651983</v>
      </c>
      <c r="AC78">
        <v>843976.64</v>
      </c>
    </row>
    <row r="79" spans="1:29" x14ac:dyDescent="0.3">
      <c r="B79" t="s">
        <v>227</v>
      </c>
      <c r="C79" t="s">
        <v>228</v>
      </c>
      <c r="D79">
        <v>0</v>
      </c>
      <c r="E79">
        <v>139844.54</v>
      </c>
      <c r="F79" t="s">
        <v>229</v>
      </c>
      <c r="H79">
        <v>77937.3928859484</v>
      </c>
      <c r="I79">
        <v>89970.523098940001</v>
      </c>
      <c r="L79" t="s">
        <v>69</v>
      </c>
      <c r="M79" t="s">
        <v>11</v>
      </c>
      <c r="N79">
        <v>67.442254091600006</v>
      </c>
      <c r="O79">
        <v>64.336100000000002</v>
      </c>
      <c r="Q79">
        <v>-4.0665511099999998</v>
      </c>
      <c r="R79">
        <v>-8.296037385719</v>
      </c>
      <c r="S79">
        <v>-9.8710744820492398</v>
      </c>
      <c r="T79">
        <v>-8.2960373857185807</v>
      </c>
      <c r="V79">
        <v>0.36589333044900002</v>
      </c>
      <c r="W79">
        <v>0</v>
      </c>
      <c r="X79">
        <v>-7616.0871140516001</v>
      </c>
      <c r="Z79" t="s">
        <v>176</v>
      </c>
      <c r="AA79">
        <v>6.6243700000000001E-3</v>
      </c>
      <c r="AC79">
        <v>93825.48</v>
      </c>
    </row>
    <row r="80" spans="1:29" x14ac:dyDescent="0.3">
      <c r="B80" t="s">
        <v>230</v>
      </c>
      <c r="C80" t="s">
        <v>231</v>
      </c>
      <c r="D80">
        <v>0</v>
      </c>
      <c r="E80">
        <v>699999.80666999996</v>
      </c>
      <c r="F80" t="s">
        <v>232</v>
      </c>
      <c r="H80">
        <v>1428238.8551245399</v>
      </c>
      <c r="I80">
        <v>1648751.54463825</v>
      </c>
      <c r="L80" t="s">
        <v>69</v>
      </c>
      <c r="M80" t="s">
        <v>11</v>
      </c>
      <c r="N80">
        <v>31.0442128597</v>
      </c>
      <c r="O80">
        <v>235.536</v>
      </c>
      <c r="Q80">
        <v>659.58006106000005</v>
      </c>
      <c r="R80">
        <v>23.145678440815999</v>
      </c>
      <c r="S80">
        <v>23.406478078962198</v>
      </c>
      <c r="T80">
        <v>25.563053005212701</v>
      </c>
      <c r="V80">
        <v>6.7051649025869997</v>
      </c>
      <c r="W80">
        <v>0</v>
      </c>
      <c r="X80">
        <v>1255925.7751245401</v>
      </c>
      <c r="Y80">
        <v>5</v>
      </c>
      <c r="Z80" t="s">
        <v>233</v>
      </c>
      <c r="AA80">
        <v>0.1225591</v>
      </c>
      <c r="AB80">
        <v>9.9105590084260005</v>
      </c>
      <c r="AC80">
        <v>172038.8</v>
      </c>
    </row>
    <row r="81" spans="1:29" x14ac:dyDescent="0.3">
      <c r="B81" t="s">
        <v>230</v>
      </c>
      <c r="C81" t="s">
        <v>234</v>
      </c>
      <c r="D81">
        <v>0</v>
      </c>
      <c r="E81">
        <v>700000</v>
      </c>
      <c r="F81" t="s">
        <v>235</v>
      </c>
      <c r="H81">
        <v>0</v>
      </c>
      <c r="I81">
        <v>0</v>
      </c>
      <c r="L81" t="s">
        <v>69</v>
      </c>
      <c r="M81" t="s">
        <v>11</v>
      </c>
      <c r="N81">
        <v>0</v>
      </c>
      <c r="O81">
        <v>0</v>
      </c>
      <c r="S81">
        <v>0</v>
      </c>
      <c r="T81">
        <v>0</v>
      </c>
      <c r="V81">
        <v>0</v>
      </c>
      <c r="X81">
        <v>0</v>
      </c>
      <c r="Y81">
        <v>5</v>
      </c>
      <c r="Z81" t="s">
        <v>233</v>
      </c>
      <c r="AA81">
        <v>0</v>
      </c>
      <c r="AC81">
        <v>0</v>
      </c>
    </row>
    <row r="82" spans="1:29" x14ac:dyDescent="0.3">
      <c r="B82" t="s">
        <v>236</v>
      </c>
      <c r="C82" t="s">
        <v>237</v>
      </c>
      <c r="D82">
        <v>0</v>
      </c>
      <c r="E82">
        <v>629808.94999999995</v>
      </c>
      <c r="F82" t="s">
        <v>238</v>
      </c>
      <c r="H82">
        <v>378045.82600841601</v>
      </c>
      <c r="I82">
        <v>436414.14553245</v>
      </c>
      <c r="L82" t="s">
        <v>69</v>
      </c>
      <c r="M82" t="s">
        <v>11</v>
      </c>
      <c r="N82">
        <v>-3.3725163798</v>
      </c>
      <c r="O82">
        <v>69.293099999999995</v>
      </c>
      <c r="Q82">
        <v>17867.341402689999</v>
      </c>
      <c r="R82">
        <v>-12.141344476075</v>
      </c>
      <c r="S82">
        <v>-3.2794523499432602</v>
      </c>
      <c r="T82">
        <v>-1.59398128535996</v>
      </c>
      <c r="V82">
        <v>1.7748149023019999</v>
      </c>
      <c r="W82">
        <v>0</v>
      </c>
      <c r="X82">
        <v>377179.28600841598</v>
      </c>
      <c r="Y82">
        <v>5</v>
      </c>
      <c r="Z82" t="s">
        <v>233</v>
      </c>
      <c r="AA82">
        <v>3.6431289999999998E-2</v>
      </c>
      <c r="AB82">
        <v>3.2104724641539999</v>
      </c>
      <c r="AC82">
        <v>-11550.43</v>
      </c>
    </row>
    <row r="83" spans="1:29" x14ac:dyDescent="0.3">
      <c r="B83" t="s">
        <v>236</v>
      </c>
      <c r="C83" t="s">
        <v>239</v>
      </c>
      <c r="D83">
        <v>0</v>
      </c>
      <c r="E83">
        <v>700000</v>
      </c>
      <c r="F83" t="s">
        <v>240</v>
      </c>
      <c r="H83">
        <v>0</v>
      </c>
      <c r="I83">
        <v>0</v>
      </c>
      <c r="L83" t="s">
        <v>69</v>
      </c>
      <c r="M83" t="s">
        <v>11</v>
      </c>
      <c r="N83">
        <v>0</v>
      </c>
      <c r="O83">
        <v>0</v>
      </c>
      <c r="S83">
        <v>0</v>
      </c>
      <c r="T83">
        <v>0</v>
      </c>
      <c r="V83">
        <v>0</v>
      </c>
      <c r="X83">
        <v>0</v>
      </c>
      <c r="Y83">
        <v>5</v>
      </c>
      <c r="Z83" t="s">
        <v>233</v>
      </c>
      <c r="AA83">
        <v>0</v>
      </c>
      <c r="AC83">
        <v>0</v>
      </c>
    </row>
    <row r="84" spans="1:29" x14ac:dyDescent="0.3">
      <c r="B84" t="s">
        <v>236</v>
      </c>
      <c r="D84">
        <v>0</v>
      </c>
      <c r="E84">
        <v>9.48</v>
      </c>
      <c r="F84" t="s">
        <v>241</v>
      </c>
      <c r="H84">
        <v>8.2120950185683199</v>
      </c>
      <c r="I84">
        <v>9.48</v>
      </c>
      <c r="L84" t="s">
        <v>69</v>
      </c>
      <c r="M84" t="s">
        <v>11</v>
      </c>
      <c r="N84">
        <v>100</v>
      </c>
      <c r="O84">
        <v>100</v>
      </c>
      <c r="Q84">
        <v>0</v>
      </c>
      <c r="R84">
        <v>1.7475378601039999</v>
      </c>
      <c r="S84">
        <v>8.9435425205120003E-2</v>
      </c>
      <c r="T84">
        <v>-1.41542594755916</v>
      </c>
      <c r="V84" s="1">
        <v>3.8553390999999998E-5</v>
      </c>
      <c r="W84">
        <v>0</v>
      </c>
      <c r="X84">
        <v>-0.1179049814</v>
      </c>
      <c r="Y84">
        <v>5</v>
      </c>
      <c r="Z84" t="s">
        <v>70</v>
      </c>
      <c r="AA84" s="1">
        <v>-6.1999999999999999E-7</v>
      </c>
      <c r="AC84">
        <v>8.33</v>
      </c>
    </row>
    <row r="85" spans="1:29" x14ac:dyDescent="0.3">
      <c r="B85" t="s">
        <v>215</v>
      </c>
      <c r="C85" t="s">
        <v>242</v>
      </c>
      <c r="D85">
        <v>0</v>
      </c>
      <c r="E85">
        <v>500000</v>
      </c>
      <c r="F85" t="s">
        <v>243</v>
      </c>
      <c r="H85">
        <v>0</v>
      </c>
      <c r="I85">
        <v>0</v>
      </c>
      <c r="L85" t="s">
        <v>69</v>
      </c>
      <c r="M85" t="s">
        <v>10</v>
      </c>
      <c r="N85">
        <v>0</v>
      </c>
      <c r="O85">
        <v>0</v>
      </c>
      <c r="S85">
        <v>0</v>
      </c>
      <c r="T85">
        <v>0</v>
      </c>
      <c r="V85">
        <v>0</v>
      </c>
      <c r="X85">
        <v>0</v>
      </c>
      <c r="Y85">
        <v>5</v>
      </c>
      <c r="Z85" t="s">
        <v>70</v>
      </c>
      <c r="AA85">
        <v>0</v>
      </c>
      <c r="AC85">
        <v>0</v>
      </c>
    </row>
    <row r="86" spans="1:29" x14ac:dyDescent="0.3">
      <c r="A86" t="s">
        <v>244</v>
      </c>
    </row>
    <row r="87" spans="1:29" x14ac:dyDescent="0.3">
      <c r="B87" t="s">
        <v>245</v>
      </c>
      <c r="C87" t="s">
        <v>246</v>
      </c>
      <c r="D87">
        <v>0</v>
      </c>
      <c r="E87">
        <v>491</v>
      </c>
      <c r="F87" t="s">
        <v>247</v>
      </c>
      <c r="H87">
        <v>214748.31391129899</v>
      </c>
      <c r="I87">
        <v>201236.35</v>
      </c>
      <c r="L87" t="s">
        <v>69</v>
      </c>
      <c r="M87" t="s">
        <v>12</v>
      </c>
      <c r="N87">
        <v>303.75152749490002</v>
      </c>
      <c r="O87">
        <v>409.85</v>
      </c>
      <c r="Q87">
        <v>34.929362619999999</v>
      </c>
      <c r="R87">
        <v>-20.182466181013002</v>
      </c>
      <c r="S87">
        <v>-19.621494410668699</v>
      </c>
      <c r="T87">
        <v>-20.182466181013101</v>
      </c>
      <c r="V87">
        <v>1.0081807060220001</v>
      </c>
      <c r="W87">
        <v>54</v>
      </c>
      <c r="X87">
        <v>56640.273911299002</v>
      </c>
      <c r="Y87">
        <v>5</v>
      </c>
      <c r="Z87" t="s">
        <v>70</v>
      </c>
      <c r="AA87">
        <v>-7.5209300000000003E-3</v>
      </c>
      <c r="AB87">
        <v>1.8985193210419999</v>
      </c>
      <c r="AC87">
        <v>158108.04</v>
      </c>
    </row>
    <row r="88" spans="1:29" x14ac:dyDescent="0.3">
      <c r="B88" t="s">
        <v>143</v>
      </c>
      <c r="C88" t="s">
        <v>248</v>
      </c>
      <c r="D88">
        <v>0</v>
      </c>
      <c r="E88">
        <v>70</v>
      </c>
      <c r="F88" t="s">
        <v>249</v>
      </c>
      <c r="H88">
        <v>267291.262098754</v>
      </c>
      <c r="I88">
        <v>308559.65000000002</v>
      </c>
      <c r="M88" t="s">
        <v>11</v>
      </c>
      <c r="N88">
        <v>1480</v>
      </c>
      <c r="O88">
        <v>4407.9949999999999</v>
      </c>
      <c r="Q88">
        <v>197.83750000000001</v>
      </c>
      <c r="R88">
        <v>3.671746933703</v>
      </c>
      <c r="S88">
        <v>1.89116033082306</v>
      </c>
      <c r="T88">
        <v>3.67174693370331</v>
      </c>
      <c r="V88">
        <v>1.2548545244810001</v>
      </c>
      <c r="W88">
        <v>63.230955494924999</v>
      </c>
      <c r="X88">
        <v>189162.46209875401</v>
      </c>
      <c r="Y88">
        <v>5</v>
      </c>
      <c r="Z88" t="s">
        <v>70</v>
      </c>
      <c r="AA88">
        <v>2.2708519999999999E-2</v>
      </c>
      <c r="AB88">
        <v>1.4115513232320001</v>
      </c>
      <c r="AC88">
        <v>78128.800000000003</v>
      </c>
    </row>
    <row r="89" spans="1:29" x14ac:dyDescent="0.3">
      <c r="B89" t="s">
        <v>143</v>
      </c>
      <c r="C89" t="s">
        <v>250</v>
      </c>
      <c r="D89">
        <v>0</v>
      </c>
      <c r="E89">
        <v>35</v>
      </c>
      <c r="F89" t="s">
        <v>251</v>
      </c>
      <c r="H89">
        <v>4272852.3991174698</v>
      </c>
      <c r="I89">
        <v>4004004.5261650002</v>
      </c>
      <c r="M89" t="s">
        <v>12</v>
      </c>
      <c r="N89">
        <v>49369.285714285703</v>
      </c>
      <c r="O89">
        <v>114400.129319</v>
      </c>
      <c r="Q89">
        <v>131.72328232999999</v>
      </c>
      <c r="R89">
        <v>2.9187500705299998</v>
      </c>
      <c r="S89">
        <v>3.6420812819352801</v>
      </c>
      <c r="T89">
        <v>2.9187500705296401</v>
      </c>
      <c r="V89">
        <v>20.059795907177001</v>
      </c>
      <c r="W89">
        <v>63</v>
      </c>
      <c r="X89">
        <v>2850868.11911747</v>
      </c>
      <c r="Y89">
        <v>4</v>
      </c>
      <c r="Z89" t="s">
        <v>252</v>
      </c>
      <c r="AA89">
        <v>-0.14839936000000001</v>
      </c>
      <c r="AB89">
        <v>23.948329444096998</v>
      </c>
      <c r="AC89">
        <v>1421984.28</v>
      </c>
    </row>
    <row r="90" spans="1:29" x14ac:dyDescent="0.3">
      <c r="B90" t="s">
        <v>253</v>
      </c>
      <c r="C90" t="s">
        <v>254</v>
      </c>
      <c r="D90">
        <v>0</v>
      </c>
      <c r="E90">
        <v>4228</v>
      </c>
      <c r="F90" t="s">
        <v>255</v>
      </c>
      <c r="H90">
        <v>208361.05168182001</v>
      </c>
      <c r="I90">
        <v>240530.92</v>
      </c>
      <c r="L90" t="s">
        <v>69</v>
      </c>
      <c r="M90" t="s">
        <v>11</v>
      </c>
      <c r="N90">
        <v>47.800586565800003</v>
      </c>
      <c r="O90">
        <v>56.89</v>
      </c>
      <c r="Q90">
        <v>19.015275939999999</v>
      </c>
      <c r="R90">
        <v>16.643172370001</v>
      </c>
      <c r="S90">
        <v>14.6397984886649</v>
      </c>
      <c r="T90">
        <v>16.6431723700011</v>
      </c>
      <c r="U90" t="s">
        <v>256</v>
      </c>
      <c r="V90">
        <v>0.97819437259399999</v>
      </c>
      <c r="W90">
        <v>0</v>
      </c>
      <c r="X90">
        <v>36018.551681820099</v>
      </c>
      <c r="Y90">
        <v>4</v>
      </c>
      <c r="Z90" t="s">
        <v>70</v>
      </c>
      <c r="AA90">
        <v>1.769517E-2</v>
      </c>
      <c r="AB90">
        <v>1.415977893662</v>
      </c>
      <c r="AC90">
        <v>172342.5</v>
      </c>
    </row>
    <row r="91" spans="1:29" x14ac:dyDescent="0.3">
      <c r="B91" t="s">
        <v>66</v>
      </c>
      <c r="C91" t="s">
        <v>257</v>
      </c>
      <c r="D91">
        <v>0</v>
      </c>
      <c r="E91">
        <v>30000</v>
      </c>
      <c r="F91" t="s">
        <v>258</v>
      </c>
      <c r="H91">
        <v>172038.193110514</v>
      </c>
      <c r="I91">
        <v>198600</v>
      </c>
      <c r="L91" t="s">
        <v>69</v>
      </c>
      <c r="M91" t="s">
        <v>11</v>
      </c>
      <c r="N91">
        <v>6.3204890000000002</v>
      </c>
      <c r="O91">
        <v>6.62</v>
      </c>
      <c r="Q91">
        <v>4.7387314500000004</v>
      </c>
      <c r="R91">
        <v>14.309495228492001</v>
      </c>
      <c r="S91">
        <v>4.7387329441696897</v>
      </c>
      <c r="T91">
        <v>4.9994028633409702</v>
      </c>
      <c r="U91" t="s">
        <v>256</v>
      </c>
      <c r="V91">
        <v>0.80766914456200001</v>
      </c>
      <c r="W91">
        <v>0</v>
      </c>
      <c r="X91">
        <v>8191.3631105135</v>
      </c>
      <c r="Y91">
        <v>3</v>
      </c>
      <c r="Z91" t="s">
        <v>70</v>
      </c>
      <c r="AA91">
        <v>2.67622E-3</v>
      </c>
      <c r="AB91">
        <v>0.111705006533</v>
      </c>
      <c r="AC91">
        <v>163846.82999999999</v>
      </c>
    </row>
    <row r="92" spans="1:29" x14ac:dyDescent="0.3">
      <c r="B92" t="s">
        <v>253</v>
      </c>
      <c r="C92" t="s">
        <v>259</v>
      </c>
      <c r="D92">
        <v>0</v>
      </c>
      <c r="E92">
        <v>52630</v>
      </c>
      <c r="F92" t="s">
        <v>260</v>
      </c>
      <c r="H92">
        <v>199141.43309002399</v>
      </c>
      <c r="I92">
        <v>229887.84</v>
      </c>
      <c r="L92" t="s">
        <v>69</v>
      </c>
      <c r="M92" t="s">
        <v>11</v>
      </c>
      <c r="N92">
        <v>3.8295578567000002</v>
      </c>
      <c r="O92">
        <v>4.3680000000000003</v>
      </c>
      <c r="Q92">
        <v>14.06016473</v>
      </c>
      <c r="R92">
        <v>14.015711999213</v>
      </c>
      <c r="S92">
        <v>12.0574653668548</v>
      </c>
      <c r="T92">
        <v>14.015711999213201</v>
      </c>
      <c r="U92" t="s">
        <v>261</v>
      </c>
      <c r="V92">
        <v>0.93491095205499997</v>
      </c>
      <c r="W92">
        <v>0</v>
      </c>
      <c r="X92">
        <v>27269.0130900244</v>
      </c>
      <c r="Y92">
        <v>4</v>
      </c>
      <c r="Z92" t="s">
        <v>262</v>
      </c>
      <c r="AA92">
        <v>1.6913379999999999E-2</v>
      </c>
      <c r="AB92">
        <v>0.86812617232199996</v>
      </c>
      <c r="AC92">
        <v>171872.42</v>
      </c>
    </row>
    <row r="93" spans="1:29" x14ac:dyDescent="0.3">
      <c r="A93" t="s">
        <v>263</v>
      </c>
    </row>
    <row r="94" spans="1:29" x14ac:dyDescent="0.3">
      <c r="B94" t="s">
        <v>264</v>
      </c>
      <c r="C94" t="s">
        <v>265</v>
      </c>
      <c r="D94">
        <v>0</v>
      </c>
      <c r="E94">
        <v>4090</v>
      </c>
      <c r="F94" t="s">
        <v>266</v>
      </c>
      <c r="H94">
        <v>127122.191381739</v>
      </c>
      <c r="I94">
        <v>146749.20000000001</v>
      </c>
      <c r="L94" t="s">
        <v>69</v>
      </c>
      <c r="M94" t="s">
        <v>11</v>
      </c>
      <c r="N94">
        <v>36.6130831296</v>
      </c>
      <c r="O94">
        <v>35.880000000000003</v>
      </c>
      <c r="Q94">
        <v>-2.0022436400000001</v>
      </c>
      <c r="R94">
        <v>-26.471265691429998</v>
      </c>
      <c r="S94">
        <v>-27.734138972809699</v>
      </c>
      <c r="T94">
        <v>-26.471265691429501</v>
      </c>
      <c r="V94">
        <v>0.59680161545400001</v>
      </c>
      <c r="W94">
        <v>27.098980926397001</v>
      </c>
      <c r="X94">
        <v>-6913.3686182609999</v>
      </c>
      <c r="Y94">
        <v>5</v>
      </c>
      <c r="Z94" t="s">
        <v>58</v>
      </c>
      <c r="AA94">
        <v>1.081524E-2</v>
      </c>
      <c r="AB94">
        <v>1.2885861103039999</v>
      </c>
      <c r="AC94">
        <v>134035.56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91A2-9C93-4CE1-8569-4C35BA189BAB}">
  <dimension ref="C3:P27"/>
  <sheetViews>
    <sheetView showGridLines="0" topLeftCell="A3" workbookViewId="0">
      <selection activeCell="E22" sqref="E22"/>
    </sheetView>
  </sheetViews>
  <sheetFormatPr defaultColWidth="9.33203125" defaultRowHeight="14.4" x14ac:dyDescent="0.3"/>
  <cols>
    <col min="1" max="2" width="2.44140625" customWidth="1"/>
    <col min="3" max="3" width="55" customWidth="1"/>
    <col min="4" max="4" width="14.6640625" bestFit="1" customWidth="1"/>
    <col min="5" max="5" width="8.33203125" style="2" customWidth="1"/>
    <col min="6" max="6" width="12.6640625" style="3" bestFit="1" customWidth="1"/>
    <col min="7" max="7" width="7.5546875" style="18" customWidth="1"/>
    <col min="8" max="8" width="6.5546875" customWidth="1"/>
    <col min="9" max="9" width="0.33203125" style="2" customWidth="1"/>
    <col min="10" max="10" width="13.21875" style="2" bestFit="1" customWidth="1"/>
    <col min="11" max="11" width="23.5546875" style="2" customWidth="1"/>
    <col min="12" max="12" width="9.88671875" style="2" customWidth="1"/>
    <col min="13" max="13" width="9.6640625" style="2" bestFit="1" customWidth="1"/>
    <col min="14" max="14" width="11.44140625" style="2" bestFit="1" customWidth="1"/>
    <col min="15" max="15" width="9.44140625" style="2" customWidth="1"/>
    <col min="16" max="16" width="16.77734375" style="2" bestFit="1" customWidth="1"/>
  </cols>
  <sheetData>
    <row r="3" spans="3:16" s="2" customFormat="1" ht="15" x14ac:dyDescent="0.3">
      <c r="C3" s="4" t="s">
        <v>267</v>
      </c>
      <c r="D3" s="4" t="s">
        <v>268</v>
      </c>
      <c r="E3" s="4" t="s">
        <v>269</v>
      </c>
      <c r="F3" s="4" t="s">
        <v>270</v>
      </c>
      <c r="G3" s="4" t="s">
        <v>26</v>
      </c>
      <c r="H3" s="4" t="s">
        <v>271</v>
      </c>
      <c r="I3" s="4" t="s">
        <v>272</v>
      </c>
      <c r="J3" s="4" t="s">
        <v>273</v>
      </c>
      <c r="K3" s="4" t="s">
        <v>274</v>
      </c>
      <c r="L3" s="4" t="s">
        <v>275</v>
      </c>
      <c r="M3" s="4" t="s">
        <v>276</v>
      </c>
      <c r="N3" s="4" t="s">
        <v>277</v>
      </c>
      <c r="O3" s="4" t="s">
        <v>29</v>
      </c>
      <c r="P3" s="4" t="s">
        <v>278</v>
      </c>
    </row>
    <row r="4" spans="3:16" s="5" customFormat="1" x14ac:dyDescent="0.3">
      <c r="C4" s="19" t="s">
        <v>279</v>
      </c>
      <c r="D4" s="20">
        <v>100000</v>
      </c>
      <c r="E4" s="21">
        <v>3.56567921201398</v>
      </c>
      <c r="F4" s="22" t="s">
        <v>280</v>
      </c>
      <c r="G4" s="19" t="s">
        <v>10</v>
      </c>
      <c r="H4" s="22">
        <v>3.5209999999999999</v>
      </c>
      <c r="I4" s="22" t="s">
        <v>281</v>
      </c>
      <c r="J4" s="19" t="s">
        <v>282</v>
      </c>
      <c r="K4" s="19" t="s">
        <v>283</v>
      </c>
      <c r="L4" s="23" t="s">
        <v>94</v>
      </c>
      <c r="M4" s="19">
        <v>99.790015999999994</v>
      </c>
      <c r="N4" s="24">
        <v>100</v>
      </c>
      <c r="O4" s="25">
        <v>3.5676836949009001</v>
      </c>
      <c r="P4" s="19" t="s">
        <v>284</v>
      </c>
    </row>
    <row r="5" spans="3:16" s="5" customFormat="1" x14ac:dyDescent="0.3">
      <c r="C5" s="19" t="s">
        <v>285</v>
      </c>
      <c r="D5" s="20">
        <v>100000</v>
      </c>
      <c r="E5" s="21">
        <v>3.3984477109792501</v>
      </c>
      <c r="F5" s="22" t="s">
        <v>286</v>
      </c>
      <c r="G5" s="19" t="s">
        <v>10</v>
      </c>
      <c r="H5" s="22">
        <v>3.0750000000000002</v>
      </c>
      <c r="I5" s="22" t="s">
        <v>281</v>
      </c>
      <c r="J5" s="19" t="s">
        <v>130</v>
      </c>
      <c r="K5" s="19" t="s">
        <v>283</v>
      </c>
      <c r="L5" s="23" t="s">
        <v>287</v>
      </c>
      <c r="M5" s="19">
        <v>98.465950000000007</v>
      </c>
      <c r="N5" s="24">
        <v>100</v>
      </c>
      <c r="O5" s="25">
        <v>4.49554875931348</v>
      </c>
      <c r="P5" s="19" t="s">
        <v>288</v>
      </c>
    </row>
    <row r="6" spans="3:16" s="5" customFormat="1" x14ac:dyDescent="0.3">
      <c r="C6" s="19" t="s">
        <v>289</v>
      </c>
      <c r="D6" s="20">
        <v>100000</v>
      </c>
      <c r="E6" s="21">
        <v>3.5705149510422398</v>
      </c>
      <c r="F6" s="22" t="s">
        <v>290</v>
      </c>
      <c r="G6" s="19" t="s">
        <v>10</v>
      </c>
      <c r="H6" s="22">
        <v>3.25</v>
      </c>
      <c r="I6" s="22" t="s">
        <v>281</v>
      </c>
      <c r="J6" s="19" t="s">
        <v>183</v>
      </c>
      <c r="K6" s="19" t="s">
        <v>291</v>
      </c>
      <c r="L6" s="23" t="s">
        <v>292</v>
      </c>
      <c r="M6" s="19">
        <v>98.687060000000002</v>
      </c>
      <c r="N6" s="24">
        <v>100</v>
      </c>
      <c r="O6" s="25">
        <v>3.7394908760724102</v>
      </c>
      <c r="P6" s="19" t="s">
        <v>293</v>
      </c>
    </row>
    <row r="7" spans="3:16" s="5" customFormat="1" x14ac:dyDescent="0.3">
      <c r="C7" s="19" t="s">
        <v>294</v>
      </c>
      <c r="D7" s="20">
        <v>100000</v>
      </c>
      <c r="E7" s="21">
        <v>3.7422343571913101</v>
      </c>
      <c r="F7" s="22" t="s">
        <v>295</v>
      </c>
      <c r="G7" s="19" t="s">
        <v>10</v>
      </c>
      <c r="H7" s="22">
        <v>3.75</v>
      </c>
      <c r="I7" s="22" t="s">
        <v>281</v>
      </c>
      <c r="J7" s="19" t="s">
        <v>296</v>
      </c>
      <c r="K7" s="19" t="s">
        <v>283</v>
      </c>
      <c r="L7" s="23" t="s">
        <v>88</v>
      </c>
      <c r="M7" s="19">
        <v>99.964309999999998</v>
      </c>
      <c r="N7" s="24">
        <v>100</v>
      </c>
      <c r="O7" s="25">
        <v>4.8468925672538896</v>
      </c>
      <c r="P7" s="19" t="s">
        <v>297</v>
      </c>
    </row>
    <row r="8" spans="3:16" s="5" customFormat="1" x14ac:dyDescent="0.3">
      <c r="C8" s="19" t="s">
        <v>298</v>
      </c>
      <c r="D8" s="20">
        <v>100000</v>
      </c>
      <c r="E8" s="21">
        <v>4.3316871797608902</v>
      </c>
      <c r="F8" s="22" t="s">
        <v>299</v>
      </c>
      <c r="G8" s="19" t="s">
        <v>10</v>
      </c>
      <c r="H8" s="22">
        <v>5</v>
      </c>
      <c r="I8" s="22" t="s">
        <v>281</v>
      </c>
      <c r="J8" s="19" t="s">
        <v>300</v>
      </c>
      <c r="K8" s="19" t="s">
        <v>301</v>
      </c>
      <c r="L8" s="23" t="s">
        <v>82</v>
      </c>
      <c r="M8" s="19">
        <v>101.15544</v>
      </c>
      <c r="N8" s="24">
        <v>100</v>
      </c>
      <c r="O8" s="25">
        <v>1.46034263567362</v>
      </c>
      <c r="P8" s="19" t="s">
        <v>302</v>
      </c>
    </row>
    <row r="9" spans="3:16" s="5" customFormat="1" x14ac:dyDescent="0.3">
      <c r="C9" s="19" t="s">
        <v>303</v>
      </c>
      <c r="D9" s="20">
        <v>100000</v>
      </c>
      <c r="E9" s="21">
        <v>3.3810051654030602</v>
      </c>
      <c r="F9" s="22" t="s">
        <v>304</v>
      </c>
      <c r="G9" s="19" t="s">
        <v>10</v>
      </c>
      <c r="H9" s="22">
        <v>2.25</v>
      </c>
      <c r="I9" s="22" t="s">
        <v>281</v>
      </c>
      <c r="J9" s="19" t="s">
        <v>44</v>
      </c>
      <c r="K9" s="19" t="s">
        <v>283</v>
      </c>
      <c r="L9" s="23" t="s">
        <v>88</v>
      </c>
      <c r="M9" s="19">
        <v>96.341740000000001</v>
      </c>
      <c r="N9" s="24">
        <v>100</v>
      </c>
      <c r="O9" s="25">
        <v>3.2570321870341798</v>
      </c>
      <c r="P9" s="19" t="s">
        <v>305</v>
      </c>
    </row>
    <row r="10" spans="3:16" ht="16.8" x14ac:dyDescent="0.3">
      <c r="C10" s="28" t="s">
        <v>306</v>
      </c>
      <c r="D10" s="29"/>
      <c r="E10" s="26">
        <f>+SUMPRODUCT($D$4:$D$9,E4:E9)/SUM($D$4:$D$9)</f>
        <v>3.6649280960651223</v>
      </c>
      <c r="F10" s="6"/>
      <c r="G10" s="7"/>
      <c r="H10" s="8"/>
      <c r="I10" s="8"/>
      <c r="J10" s="7"/>
      <c r="K10" s="7"/>
      <c r="L10" s="7"/>
      <c r="M10" s="7"/>
      <c r="N10" s="9"/>
      <c r="O10" s="27">
        <f>+SUMPRODUCT($D$8:$D$9,O8:O9)/SUM($D$8:$D$9)</f>
        <v>2.3586874113539</v>
      </c>
      <c r="P10" s="10" t="s">
        <v>29</v>
      </c>
    </row>
    <row r="11" spans="3:16" x14ac:dyDescent="0.3">
      <c r="C11" s="7"/>
      <c r="E11" s="7"/>
      <c r="F11" s="8"/>
      <c r="G11" s="7"/>
      <c r="H11" s="8"/>
      <c r="I11" s="8"/>
      <c r="J11" s="7"/>
      <c r="K11" s="7"/>
      <c r="L11" s="7"/>
      <c r="M11" s="7"/>
      <c r="N11" s="9"/>
      <c r="O11" s="9"/>
      <c r="P11" s="11"/>
    </row>
    <row r="12" spans="3:16" x14ac:dyDescent="0.3">
      <c r="D12" s="12"/>
      <c r="E12" s="13"/>
      <c r="F12" s="14"/>
      <c r="G12" s="13"/>
      <c r="H12" s="14"/>
      <c r="I12" s="14"/>
      <c r="J12" s="13"/>
      <c r="K12" s="13"/>
      <c r="L12" s="13"/>
      <c r="M12" s="13"/>
      <c r="N12" s="15"/>
      <c r="O12" s="16"/>
      <c r="P12"/>
    </row>
    <row r="13" spans="3:16" x14ac:dyDescent="0.3">
      <c r="C13" s="7"/>
      <c r="E13" s="7"/>
      <c r="F13" s="8"/>
      <c r="G13" s="7"/>
      <c r="H13" s="8"/>
      <c r="I13" s="8"/>
      <c r="J13" s="7"/>
      <c r="K13" s="7"/>
      <c r="L13" s="7"/>
      <c r="M13" s="7"/>
      <c r="N13" s="9"/>
      <c r="O13" s="9"/>
      <c r="P13" s="11"/>
    </row>
    <row r="14" spans="3:16" x14ac:dyDescent="0.3">
      <c r="C14" s="7"/>
      <c r="E14" s="7"/>
      <c r="F14" s="8"/>
      <c r="G14" s="7"/>
      <c r="H14" s="8"/>
      <c r="I14" s="8"/>
      <c r="J14" s="7"/>
      <c r="K14" s="7"/>
      <c r="L14" s="7"/>
      <c r="M14" s="7"/>
      <c r="N14" s="9"/>
      <c r="O14" s="9"/>
      <c r="P14" s="11"/>
    </row>
    <row r="15" spans="3:16" x14ac:dyDescent="0.3">
      <c r="C15" s="7"/>
      <c r="E15" s="7"/>
      <c r="F15" s="8"/>
      <c r="G15" s="7"/>
      <c r="H15" s="8"/>
      <c r="I15" s="8"/>
      <c r="J15" s="7"/>
      <c r="K15" s="7"/>
      <c r="L15" s="7"/>
      <c r="M15" s="7"/>
      <c r="N15" s="9"/>
      <c r="O15" s="9"/>
      <c r="P15" s="11"/>
    </row>
    <row r="16" spans="3:16" x14ac:dyDescent="0.3">
      <c r="C16" s="7"/>
      <c r="E16" s="7"/>
      <c r="F16" s="8"/>
      <c r="G16" s="7"/>
      <c r="H16" s="8"/>
      <c r="I16" s="8"/>
      <c r="J16" s="7"/>
      <c r="K16" s="7"/>
      <c r="L16" s="7"/>
      <c r="M16" s="7"/>
      <c r="N16" s="9"/>
      <c r="O16" s="9"/>
      <c r="P16" s="11"/>
    </row>
    <row r="17" spans="3:16" x14ac:dyDescent="0.3">
      <c r="C17" s="7"/>
      <c r="E17" s="7"/>
      <c r="F17" s="8"/>
      <c r="G17" s="7"/>
      <c r="H17" s="8"/>
      <c r="I17" s="8"/>
      <c r="J17" s="7"/>
      <c r="K17" s="7"/>
      <c r="L17" s="7"/>
      <c r="M17" s="7"/>
      <c r="N17" s="9"/>
      <c r="O17" s="9"/>
      <c r="P17" s="11"/>
    </row>
    <row r="18" spans="3:16" x14ac:dyDescent="0.3">
      <c r="C18" s="7"/>
      <c r="E18" s="7"/>
      <c r="F18" s="8"/>
      <c r="G18" s="7"/>
      <c r="H18" s="8"/>
      <c r="I18" s="8"/>
      <c r="J18" s="7"/>
      <c r="K18" s="7"/>
      <c r="L18" s="7"/>
      <c r="M18" s="7"/>
      <c r="N18" s="9"/>
      <c r="O18" s="9"/>
      <c r="P18" s="11"/>
    </row>
    <row r="19" spans="3:16" x14ac:dyDescent="0.3">
      <c r="C19" s="17"/>
      <c r="E19" s="7"/>
      <c r="F19" s="8"/>
      <c r="G19" s="7"/>
      <c r="H19" s="8"/>
      <c r="I19" s="8"/>
      <c r="J19" s="7"/>
      <c r="K19" s="7"/>
      <c r="L19" s="7"/>
      <c r="M19" s="7"/>
      <c r="N19" s="9"/>
      <c r="O19" s="9"/>
      <c r="P19" s="11"/>
    </row>
    <row r="20" spans="3:16" x14ac:dyDescent="0.3">
      <c r="C20" s="7"/>
      <c r="E20" s="7"/>
      <c r="F20" s="8"/>
      <c r="G20" s="7"/>
      <c r="H20" s="8"/>
      <c r="I20" s="8"/>
      <c r="J20" s="7"/>
      <c r="K20" s="7"/>
      <c r="L20" s="7"/>
      <c r="M20" s="7"/>
      <c r="N20" s="9"/>
      <c r="O20" s="9"/>
      <c r="P20" s="11"/>
    </row>
    <row r="21" spans="3:16" x14ac:dyDescent="0.3">
      <c r="C21" s="7"/>
      <c r="E21" s="7"/>
      <c r="F21" s="8"/>
      <c r="G21" s="7"/>
      <c r="H21" s="8"/>
      <c r="I21" s="8"/>
      <c r="J21" s="7"/>
      <c r="K21" s="7"/>
      <c r="L21" s="7"/>
      <c r="M21" s="7"/>
      <c r="N21" s="9"/>
      <c r="O21" s="9"/>
      <c r="P21" s="11"/>
    </row>
    <row r="22" spans="3:16" x14ac:dyDescent="0.3">
      <c r="C22" s="7"/>
      <c r="E22" s="7"/>
      <c r="F22" s="8"/>
      <c r="G22" s="7"/>
      <c r="H22" s="8"/>
      <c r="I22" s="8"/>
      <c r="J22" s="7"/>
      <c r="K22" s="7"/>
      <c r="L22" s="7"/>
      <c r="M22" s="7"/>
      <c r="N22" s="9"/>
      <c r="O22" s="9"/>
      <c r="P22" s="11"/>
    </row>
    <row r="23" spans="3:16" x14ac:dyDescent="0.3">
      <c r="C23" s="7"/>
      <c r="E23" s="7"/>
      <c r="F23" s="8"/>
      <c r="G23" s="7"/>
      <c r="H23" s="8"/>
      <c r="I23" s="8"/>
      <c r="J23" s="7"/>
      <c r="K23" s="7"/>
      <c r="L23" s="7"/>
      <c r="M23" s="7"/>
      <c r="N23" s="9"/>
      <c r="O23" s="9"/>
      <c r="P23" s="11"/>
    </row>
    <row r="24" spans="3:16" x14ac:dyDescent="0.3">
      <c r="C24" s="7"/>
      <c r="E24" s="7"/>
      <c r="F24" s="8"/>
      <c r="G24" s="7"/>
      <c r="H24" s="8"/>
      <c r="I24" s="8"/>
      <c r="J24" s="7"/>
      <c r="K24" s="7"/>
      <c r="L24" s="7"/>
      <c r="M24" s="7"/>
      <c r="N24" s="9"/>
      <c r="O24" s="9"/>
      <c r="P24" s="11"/>
    </row>
    <row r="25" spans="3:16" x14ac:dyDescent="0.3">
      <c r="C25" s="7"/>
      <c r="E25" s="7"/>
      <c r="F25" s="8"/>
      <c r="G25" s="7"/>
      <c r="H25" s="8"/>
      <c r="I25" s="8"/>
      <c r="J25" s="7"/>
      <c r="K25" s="7"/>
      <c r="L25" s="7"/>
      <c r="M25" s="7"/>
      <c r="N25" s="9"/>
      <c r="O25" s="9"/>
      <c r="P25" s="11"/>
    </row>
    <row r="26" spans="3:16" x14ac:dyDescent="0.3">
      <c r="C26" s="7"/>
      <c r="E26" s="7"/>
      <c r="F26" s="8"/>
      <c r="G26" s="7"/>
      <c r="H26" s="8"/>
      <c r="I26" s="8"/>
      <c r="J26" s="7"/>
      <c r="K26" s="7"/>
      <c r="L26" s="7"/>
      <c r="M26" s="7"/>
      <c r="N26" s="9"/>
      <c r="O26" s="9"/>
      <c r="P26" s="11"/>
    </row>
    <row r="27" spans="3:16" x14ac:dyDescent="0.3">
      <c r="C27" s="7"/>
      <c r="E27" s="7"/>
      <c r="F27" s="8"/>
      <c r="G27" s="7"/>
      <c r="H27" s="8"/>
      <c r="I27" s="8"/>
      <c r="J27" s="7"/>
      <c r="K27" s="7"/>
      <c r="L27" s="7"/>
      <c r="M27" s="7"/>
      <c r="N27" s="9"/>
      <c r="O27" s="9"/>
      <c r="P27" s="11"/>
    </row>
  </sheetData>
  <mergeCells count="1">
    <mergeCell ref="C10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Fixed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Moraes</dc:creator>
  <cp:lastModifiedBy>Assia Driss</cp:lastModifiedBy>
  <dcterms:created xsi:type="dcterms:W3CDTF">2026-08-14T15:13:12Z</dcterms:created>
  <dcterms:modified xsi:type="dcterms:W3CDTF">2026-08-18T07:58:09Z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e46280-7c6c-48e1-a256-f27a932e76ee_Enabled">
    <vt:lpwstr>true</vt:lpwstr>
  </property>
  <property fmtid="{D5CDD505-2E9C-101B-9397-08002B2CF9AE}" pid="3" name="MSIP_Label_a9e46280-7c6c-48e1-a256-f27a932e76ee_SetDate">
    <vt:lpwstr>2026-08-14T15:14:07Z</vt:lpwstr>
  </property>
  <property fmtid="{D5CDD505-2E9C-101B-9397-08002B2CF9AE}" pid="4" name="MSIP_Label_a9e46280-7c6c-48e1-a256-f27a932e76ee_Method">
    <vt:lpwstr>Standard</vt:lpwstr>
  </property>
  <property fmtid="{D5CDD505-2E9C-101B-9397-08002B2CF9AE}" pid="5" name="MSIP_Label_a9e46280-7c6c-48e1-a256-f27a932e76ee_Name">
    <vt:lpwstr>C2-Confidential</vt:lpwstr>
  </property>
  <property fmtid="{D5CDD505-2E9C-101B-9397-08002B2CF9AE}" pid="6" name="MSIP_Label_a9e46280-7c6c-48e1-a256-f27a932e76ee_SiteId">
    <vt:lpwstr>00137d3d-3556-4d89-bdd6-8cf30cc386e2</vt:lpwstr>
  </property>
  <property fmtid="{D5CDD505-2E9C-101B-9397-08002B2CF9AE}" pid="7" name="MSIP_Label_a9e46280-7c6c-48e1-a256-f27a932e76ee_ActionId">
    <vt:lpwstr>19400c17-113d-40c9-9f36-d05b06241fe8</vt:lpwstr>
  </property>
  <property fmtid="{D5CDD505-2E9C-101B-9397-08002B2CF9AE}" pid="8" name="MSIP_Label_a9e46280-7c6c-48e1-a256-f27a932e76ee_ContentBits">
    <vt:lpwstr>0</vt:lpwstr>
  </property>
  <property fmtid="{D5CDD505-2E9C-101B-9397-08002B2CF9AE}" pid="9" name="MSIP_Label_a9e46280-7c6c-48e1-a256-f27a932e76ee_Tag">
    <vt:lpwstr>10, 3, 0, 1</vt:lpwstr>
  </property>
</Properties>
</file>