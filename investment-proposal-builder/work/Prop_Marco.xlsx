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zerland-my.sharepoint.com/personal/gregory_diche_syzgroup_com/Documents/SYZ IA Team/"/>
    </mc:Choice>
  </mc:AlternateContent>
  <xr:revisionPtr revIDLastSave="0" documentId="8_{06A3F575-0254-4A25-8038-D848051530F7}" xr6:coauthVersionLast="47" xr6:coauthVersionMax="47" xr10:uidLastSave="{00000000-0000-0000-0000-000000000000}"/>
  <bookViews>
    <workbookView xWindow="5484" yWindow="1932" windowWidth="22680" windowHeight="14424" xr2:uid="{927729B5-A313-40AD-B74D-67B43950D6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9" i="1" l="1"/>
  <c r="D25" i="1"/>
  <c r="D19" i="1"/>
  <c r="D8" i="1"/>
  <c r="D3" i="1"/>
  <c r="D35" i="1" l="1"/>
</calcChain>
</file>

<file path=xl/sharedStrings.xml><?xml version="1.0" encoding="utf-8"?>
<sst xmlns="http://schemas.openxmlformats.org/spreadsheetml/2006/main" count="89" uniqueCount="46">
  <si>
    <t>Instrument</t>
  </si>
  <si>
    <t>Type</t>
  </si>
  <si>
    <t>Ccy</t>
  </si>
  <si>
    <t>Wgt</t>
  </si>
  <si>
    <t>Fund</t>
  </si>
  <si>
    <t>USD</t>
  </si>
  <si>
    <t>GS US Small Cap Equity</t>
  </si>
  <si>
    <t>EUR</t>
  </si>
  <si>
    <t>Theam Quant Equity Eurozone</t>
  </si>
  <si>
    <t>UBS Swiss Income Equity</t>
  </si>
  <si>
    <t>CHF</t>
  </si>
  <si>
    <t>SG Bernstein China Next Winners</t>
  </si>
  <si>
    <t>ETF</t>
  </si>
  <si>
    <t>ARK Automation &amp; Robotics</t>
  </si>
  <si>
    <t>BlackRock World Mining</t>
  </si>
  <si>
    <t>BNY Mellon Global Short-Dated HY</t>
  </si>
  <si>
    <t>Storm Bond Fund (Nordic HY)</t>
  </si>
  <si>
    <t>Axiom Obligataire (IG / crossover)</t>
  </si>
  <si>
    <t>Neuberger Short Duration EM Debt</t>
  </si>
  <si>
    <t>ARC — Alphabet / Amazon / Microsoft</t>
  </si>
  <si>
    <t>SP</t>
  </si>
  <si>
    <t>ARC — S&amp;P 500 / EuroStoxx 50 / SMI</t>
  </si>
  <si>
    <t>WisdomTree Copper</t>
  </si>
  <si>
    <t>WisdomTree Agriculture</t>
  </si>
  <si>
    <t>HF</t>
  </si>
  <si>
    <t>Scarce Assets</t>
  </si>
  <si>
    <t>AMC</t>
  </si>
  <si>
    <t>StepStone — Private Credit</t>
  </si>
  <si>
    <t>Private credit</t>
  </si>
  <si>
    <t>Ares — Private Credit (senior secured)</t>
  </si>
  <si>
    <t>Cash</t>
  </si>
  <si>
    <t xml:space="preserve">Fixed income via funds </t>
  </si>
  <si>
    <t xml:space="preserve">Equity structured products (ARC) </t>
  </si>
  <si>
    <t>Alternatives</t>
  </si>
  <si>
    <t>Equities</t>
  </si>
  <si>
    <t>Commodities</t>
  </si>
  <si>
    <t xml:space="preserve">Swisscanto Gold ETF </t>
  </si>
  <si>
    <t>NOK</t>
  </si>
  <si>
    <t>JPY</t>
  </si>
  <si>
    <t>ARC — Nvidia / CATL / Arista</t>
  </si>
  <si>
    <t>ARC — Swissquote / EFG / UBS</t>
  </si>
  <si>
    <t>ARC — Georg Fischer / Logitech / VAT</t>
  </si>
  <si>
    <t>X-Trackers S&amp;P500 Equal-Weight</t>
  </si>
  <si>
    <t>ETF Japan</t>
  </si>
  <si>
    <t>Different Emerging Markets ETF</t>
  </si>
  <si>
    <t>Millenium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</si>
</sst>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%"/>
  </numFmts>
  <fonts count="6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</font>
    <font>
      <sz val="10.5"/>
      <color rgb="FF1E315E"/>
      <name val="Arial"/>
    </font>
    <font>
      <b/>
      <sz val="10.5"/>
      <color rgb="FF1E315E"/>
      <name val="Arial"/>
    </font>
    <font>
      <b/>
      <sz val="11"/>
      <color theme="0"/>
      <name val="Arial"/>
      <family val="2"/>
    </font>
    <font>
      <b/>
      <sz val="10.5"/>
      <color rgb="FF1E315E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202A44"/>
        <bgColor rgb="FF000000"/>
      </patternFill>
    </fill>
    <fill>
      <patternFill patternType="solid">
        <fgColor rgb="FFFF6B0B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5" tint="0.39997558519241921"/>
        <bgColor rgb="FF000000"/>
      </patternFill>
    </fill>
  </fills>
  <borders count="6">
    <border>
      <left/>
      <right/>
      <top/>
      <bottom/>
      <diagonal/>
    </border>
    <border>
      <left style="thin">
        <color rgb="FFC8CDDD"/>
      </left>
      <right/>
      <top style="thin">
        <color rgb="FFC8CDDD"/>
      </top>
      <bottom/>
      <diagonal/>
    </border>
    <border>
      <left style="thin">
        <color rgb="FFC8CDDD"/>
      </left>
      <right style="thin">
        <color rgb="FFC8CDDD"/>
      </right>
      <top style="thin">
        <color rgb="FFC8CDDD"/>
      </top>
      <bottom/>
      <diagonal/>
    </border>
    <border>
      <left style="thin">
        <color rgb="FFC8CDDD"/>
      </left>
      <right/>
      <top/>
      <bottom/>
      <diagonal/>
    </border>
    <border>
      <left style="thin">
        <color rgb="FFC8CDDD"/>
      </left>
      <right/>
      <top/>
      <bottom style="thin">
        <color rgb="FFC8CDDD"/>
      </bottom>
      <diagonal/>
    </border>
    <border>
      <left style="thin">
        <color rgb="FFC8CDDD"/>
      </left>
      <right style="thin">
        <color rgb="FFC8CDDD"/>
      </right>
      <top/>
      <bottom style="thin">
        <color rgb="FFC8CDD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10" fontId="3" fillId="0" borderId="5" xfId="0" applyNumberFormat="1" applyFont="1" applyBorder="1" applyAlignment="1">
      <alignment horizontal="righ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3" xfId="0" applyFont="1" applyFill="1" applyBorder="1" applyAlignment="1">
      <alignment horizontal="left" vertical="center"/>
    </xf>
    <xf numFmtId="0" fontId="0" fillId="7" borderId="0" xfId="0" applyFill="1"/>
    <xf numFmtId="0" fontId="1" fillId="8" borderId="3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1" fillId="9" borderId="3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10" fontId="1" fillId="8" borderId="2" xfId="0" applyNumberFormat="1" applyFont="1" applyFill="1" applyBorder="1" applyAlignment="1">
      <alignment horizontal="left" vertical="center"/>
    </xf>
    <xf numFmtId="10" fontId="1" fillId="5" borderId="2" xfId="0" applyNumberFormat="1" applyFont="1" applyFill="1" applyBorder="1" applyAlignment="1">
      <alignment horizontal="left" vertical="center"/>
    </xf>
    <xf numFmtId="10" fontId="1" fillId="3" borderId="3" xfId="0" applyNumberFormat="1" applyFont="1" applyFill="1" applyBorder="1" applyAlignment="1">
      <alignment horizontal="left" vertical="center"/>
    </xf>
    <xf numFmtId="10" fontId="1" fillId="9" borderId="2" xfId="0" applyNumberFormat="1" applyFont="1" applyFill="1" applyBorder="1" applyAlignment="1">
      <alignment horizontal="left" vertical="center"/>
    </xf>
    <xf numFmtId="10" fontId="1" fillId="10" borderId="2" xfId="0" applyNumberFormat="1" applyFont="1" applyFill="1" applyBorder="1" applyAlignment="1">
      <alignment horizontal="left" vertical="center"/>
    </xf>
    <xf numFmtId="168" fontId="0" fillId="0" borderId="0" xfId="0" applyNumberFormat="1"/>
    <xf numFmtId="10" fontId="4" fillId="7" borderId="0" xfId="0" applyNumberFormat="1" applyFont="1" applyFill="1" applyAlignment="1">
      <alignment horizontal="left"/>
    </xf>
    <xf numFmtId="0" fontId="5" fillId="4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EF18D-B5CD-4BB2-826B-50F01FA024C9}">
  <dimension ref="A1:D35"/>
  <sheetViews>
    <sheetView tabSelected="1" workbookViewId="0">
      <selection activeCell="B20" sqref="B20"/>
    </sheetView>
  </sheetViews>
  <sheetFormatPr defaultRowHeight="14.4" x14ac:dyDescent="0.3"/>
  <cols>
    <col min="1" max="1" width="4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A2" s="7" t="s">
        <v>30</v>
      </c>
      <c r="B2" s="8"/>
      <c r="C2" s="8"/>
      <c r="D2" s="21">
        <v>0.1</v>
      </c>
    </row>
    <row r="3" spans="1:4" x14ac:dyDescent="0.3">
      <c r="A3" s="9" t="s">
        <v>31</v>
      </c>
      <c r="B3" s="10"/>
      <c r="C3" s="10"/>
      <c r="D3" s="15">
        <f>SUM(D4:D7)</f>
        <v>0.12</v>
      </c>
    </row>
    <row r="4" spans="1:4" x14ac:dyDescent="0.3">
      <c r="A4" s="4" t="s">
        <v>15</v>
      </c>
      <c r="B4" s="4" t="s">
        <v>4</v>
      </c>
      <c r="C4" s="4" t="s">
        <v>5</v>
      </c>
      <c r="D4" s="5">
        <v>3.5000000000000003E-2</v>
      </c>
    </row>
    <row r="5" spans="1:4" x14ac:dyDescent="0.3">
      <c r="A5" s="4" t="s">
        <v>16</v>
      </c>
      <c r="B5" s="4" t="s">
        <v>4</v>
      </c>
      <c r="C5" s="4" t="s">
        <v>37</v>
      </c>
      <c r="D5" s="5">
        <v>0.03</v>
      </c>
    </row>
    <row r="6" spans="1:4" x14ac:dyDescent="0.3">
      <c r="A6" s="4" t="s">
        <v>17</v>
      </c>
      <c r="B6" s="4" t="s">
        <v>4</v>
      </c>
      <c r="C6" s="4" t="s">
        <v>7</v>
      </c>
      <c r="D6" s="5">
        <v>0.03</v>
      </c>
    </row>
    <row r="7" spans="1:4" x14ac:dyDescent="0.3">
      <c r="A7" s="4" t="s">
        <v>18</v>
      </c>
      <c r="B7" s="4" t="s">
        <v>4</v>
      </c>
      <c r="C7" s="4" t="s">
        <v>5</v>
      </c>
      <c r="D7" s="5">
        <v>2.5000000000000001E-2</v>
      </c>
    </row>
    <row r="8" spans="1:4" x14ac:dyDescent="0.3">
      <c r="A8" s="22" t="s">
        <v>34</v>
      </c>
      <c r="B8" s="6"/>
      <c r="C8" s="6"/>
      <c r="D8" s="16">
        <f>SUM(D9:D17)</f>
        <v>0.28999999999999998</v>
      </c>
    </row>
    <row r="9" spans="1:4" x14ac:dyDescent="0.3">
      <c r="A9" s="4" t="s">
        <v>42</v>
      </c>
      <c r="B9" s="4" t="s">
        <v>4</v>
      </c>
      <c r="C9" s="4" t="s">
        <v>5</v>
      </c>
      <c r="D9" s="5">
        <v>0.05</v>
      </c>
    </row>
    <row r="10" spans="1:4" x14ac:dyDescent="0.3">
      <c r="A10" s="4" t="s">
        <v>6</v>
      </c>
      <c r="B10" s="4" t="s">
        <v>4</v>
      </c>
      <c r="C10" s="4" t="s">
        <v>5</v>
      </c>
      <c r="D10" s="5">
        <v>0.03</v>
      </c>
    </row>
    <row r="11" spans="1:4" x14ac:dyDescent="0.3">
      <c r="A11" s="4" t="s">
        <v>8</v>
      </c>
      <c r="B11" s="4" t="s">
        <v>4</v>
      </c>
      <c r="C11" s="4" t="s">
        <v>7</v>
      </c>
      <c r="D11" s="5">
        <v>0.04</v>
      </c>
    </row>
    <row r="12" spans="1:4" x14ac:dyDescent="0.3">
      <c r="A12" s="4" t="s">
        <v>9</v>
      </c>
      <c r="B12" s="4" t="s">
        <v>4</v>
      </c>
      <c r="C12" s="4" t="s">
        <v>10</v>
      </c>
      <c r="D12" s="5">
        <v>0.05</v>
      </c>
    </row>
    <row r="13" spans="1:4" x14ac:dyDescent="0.3">
      <c r="A13" s="4" t="s">
        <v>43</v>
      </c>
      <c r="B13" s="4" t="s">
        <v>4</v>
      </c>
      <c r="C13" s="4" t="s">
        <v>38</v>
      </c>
      <c r="D13" s="5">
        <v>0.03</v>
      </c>
    </row>
    <row r="14" spans="1:4" x14ac:dyDescent="0.3">
      <c r="A14" s="4" t="s">
        <v>44</v>
      </c>
      <c r="B14" s="4" t="s">
        <v>4</v>
      </c>
      <c r="C14" s="4" t="s">
        <v>5</v>
      </c>
      <c r="D14" s="5">
        <v>0.03</v>
      </c>
    </row>
    <row r="15" spans="1:4" x14ac:dyDescent="0.3">
      <c r="A15" s="4" t="s">
        <v>11</v>
      </c>
      <c r="B15" s="4" t="s">
        <v>12</v>
      </c>
      <c r="C15" s="4" t="s">
        <v>5</v>
      </c>
      <c r="D15" s="5">
        <v>0.02</v>
      </c>
    </row>
    <row r="16" spans="1:4" x14ac:dyDescent="0.3">
      <c r="A16" s="4" t="s">
        <v>13</v>
      </c>
      <c r="B16" s="4" t="s">
        <v>12</v>
      </c>
      <c r="C16" s="4" t="s">
        <v>5</v>
      </c>
      <c r="D16" s="5">
        <v>0.02</v>
      </c>
    </row>
    <row r="17" spans="1:4" x14ac:dyDescent="0.3">
      <c r="A17" s="4" t="s">
        <v>14</v>
      </c>
      <c r="B17" s="4" t="s">
        <v>4</v>
      </c>
      <c r="C17" s="4" t="s">
        <v>5</v>
      </c>
      <c r="D17" s="5">
        <v>0.02</v>
      </c>
    </row>
    <row r="18" spans="1:4" x14ac:dyDescent="0.3">
      <c r="A18" s="1" t="s">
        <v>0</v>
      </c>
      <c r="B18" s="1" t="s">
        <v>1</v>
      </c>
      <c r="C18" s="1" t="s">
        <v>2</v>
      </c>
      <c r="D18" s="2" t="s">
        <v>3</v>
      </c>
    </row>
    <row r="19" spans="1:4" x14ac:dyDescent="0.3">
      <c r="A19" s="3" t="s">
        <v>32</v>
      </c>
      <c r="B19" s="3"/>
      <c r="C19" s="3"/>
      <c r="D19" s="17">
        <f>SUM(D20:D24)</f>
        <v>0.27</v>
      </c>
    </row>
    <row r="20" spans="1:4" x14ac:dyDescent="0.3">
      <c r="A20" s="4" t="s">
        <v>19</v>
      </c>
      <c r="B20" s="4" t="s">
        <v>20</v>
      </c>
      <c r="C20" s="4" t="s">
        <v>10</v>
      </c>
      <c r="D20" s="5">
        <v>0.05</v>
      </c>
    </row>
    <row r="21" spans="1:4" x14ac:dyDescent="0.3">
      <c r="A21" s="4" t="s">
        <v>39</v>
      </c>
      <c r="B21" s="4" t="s">
        <v>20</v>
      </c>
      <c r="C21" s="4" t="s">
        <v>10</v>
      </c>
      <c r="D21" s="5">
        <v>0.05</v>
      </c>
    </row>
    <row r="22" spans="1:4" x14ac:dyDescent="0.3">
      <c r="A22" s="4" t="s">
        <v>40</v>
      </c>
      <c r="B22" s="4" t="s">
        <v>20</v>
      </c>
      <c r="C22" s="4" t="s">
        <v>10</v>
      </c>
      <c r="D22" s="5">
        <v>0.05</v>
      </c>
    </row>
    <row r="23" spans="1:4" x14ac:dyDescent="0.3">
      <c r="A23" s="4" t="s">
        <v>41</v>
      </c>
      <c r="B23" s="4" t="s">
        <v>20</v>
      </c>
      <c r="C23" s="4" t="s">
        <v>10</v>
      </c>
      <c r="D23" s="5">
        <v>0.05</v>
      </c>
    </row>
    <row r="24" spans="1:4" x14ac:dyDescent="0.3">
      <c r="A24" s="4" t="s">
        <v>21</v>
      </c>
      <c r="B24" s="4" t="s">
        <v>20</v>
      </c>
      <c r="C24" s="4" t="s">
        <v>10</v>
      </c>
      <c r="D24" s="5">
        <v>7.0000000000000007E-2</v>
      </c>
    </row>
    <row r="25" spans="1:4" x14ac:dyDescent="0.3">
      <c r="A25" s="11" t="s">
        <v>35</v>
      </c>
      <c r="B25" s="12"/>
      <c r="C25" s="12"/>
      <c r="D25" s="18">
        <f>SUM(D26:D28)</f>
        <v>7.0000000000000007E-2</v>
      </c>
    </row>
    <row r="26" spans="1:4" x14ac:dyDescent="0.3">
      <c r="A26" s="4" t="s">
        <v>36</v>
      </c>
      <c r="B26" s="4" t="s">
        <v>12</v>
      </c>
      <c r="C26" s="4" t="s">
        <v>10</v>
      </c>
      <c r="D26" s="5">
        <v>0.03</v>
      </c>
    </row>
    <row r="27" spans="1:4" x14ac:dyDescent="0.3">
      <c r="A27" s="4" t="s">
        <v>22</v>
      </c>
      <c r="B27" s="4" t="s">
        <v>12</v>
      </c>
      <c r="C27" s="4" t="s">
        <v>5</v>
      </c>
      <c r="D27" s="5">
        <v>0.02</v>
      </c>
    </row>
    <row r="28" spans="1:4" x14ac:dyDescent="0.3">
      <c r="A28" s="4" t="s">
        <v>23</v>
      </c>
      <c r="B28" s="4" t="s">
        <v>12</v>
      </c>
      <c r="C28" s="4" t="s">
        <v>5</v>
      </c>
      <c r="D28" s="5">
        <v>0.02</v>
      </c>
    </row>
    <row r="29" spans="1:4" x14ac:dyDescent="0.3">
      <c r="A29" s="13" t="s">
        <v>33</v>
      </c>
      <c r="B29" s="14"/>
      <c r="C29" s="14"/>
      <c r="D29" s="19">
        <f>SUM(D30:D33)</f>
        <v>0.15</v>
      </c>
    </row>
    <row r="30" spans="1:4" x14ac:dyDescent="0.3">
      <c r="A30" s="4" t="s">
        <v>45</v>
      </c>
      <c r="B30" s="4" t="s">
        <v>24</v>
      </c>
      <c r="C30" s="4" t="s">
        <v>5</v>
      </c>
      <c r="D30" s="5">
        <v>0.08</v>
      </c>
    </row>
    <row r="31" spans="1:4" x14ac:dyDescent="0.3">
      <c r="A31" s="4" t="s">
        <v>25</v>
      </c>
      <c r="B31" s="4" t="s">
        <v>26</v>
      </c>
      <c r="C31" s="4" t="s">
        <v>5</v>
      </c>
      <c r="D31" s="5">
        <v>0.03</v>
      </c>
    </row>
    <row r="32" spans="1:4" x14ac:dyDescent="0.3">
      <c r="A32" s="4" t="s">
        <v>27</v>
      </c>
      <c r="B32" s="4" t="s">
        <v>28</v>
      </c>
      <c r="C32" s="4" t="s">
        <v>5</v>
      </c>
      <c r="D32" s="5">
        <v>0.02</v>
      </c>
    </row>
    <row r="33" spans="1:4" x14ac:dyDescent="0.3">
      <c r="A33" s="4" t="s">
        <v>29</v>
      </c>
      <c r="B33" s="4" t="s">
        <v>28</v>
      </c>
      <c r="C33" s="4" t="s">
        <v>5</v>
      </c>
      <c r="D33" s="5">
        <v>0.02</v>
      </c>
    </row>
    <row r="35" spans="1:4" x14ac:dyDescent="0.3">
      <c r="D35" s="20">
        <f>D2+D3+D8+D19+D25+D29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Diche</dc:creator>
  <cp:lastModifiedBy>Gregory Diche</cp:lastModifiedBy>
  <dcterms:created xsi:type="dcterms:W3CDTF">2026-08-20T08:13:07Z</dcterms:created>
  <dcterms:modified xsi:type="dcterms:W3CDTF">2026-08-20T15:04:49Z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9e46280-7c6c-48e1-a256-f27a932e76ee_Enabled">
    <vt:lpwstr>true</vt:lpwstr>
  </property>
  <property fmtid="{D5CDD505-2E9C-101B-9397-08002B2CF9AE}" pid="3" name="MSIP_Label_a9e46280-7c6c-48e1-a256-f27a932e76ee_SetDate">
    <vt:lpwstr>2026-08-20T15:04:40Z</vt:lpwstr>
  </property>
  <property fmtid="{D5CDD505-2E9C-101B-9397-08002B2CF9AE}" pid="4" name="MSIP_Label_a9e46280-7c6c-48e1-a256-f27a932e76ee_Method">
    <vt:lpwstr>Standard</vt:lpwstr>
  </property>
  <property fmtid="{D5CDD505-2E9C-101B-9397-08002B2CF9AE}" pid="5" name="MSIP_Label_a9e46280-7c6c-48e1-a256-f27a932e76ee_Name">
    <vt:lpwstr>C2-Confidential</vt:lpwstr>
  </property>
  <property fmtid="{D5CDD505-2E9C-101B-9397-08002B2CF9AE}" pid="6" name="MSIP_Label_a9e46280-7c6c-48e1-a256-f27a932e76ee_SiteId">
    <vt:lpwstr>00137d3d-3556-4d89-bdd6-8cf30cc386e2</vt:lpwstr>
  </property>
  <property fmtid="{D5CDD505-2E9C-101B-9397-08002B2CF9AE}" pid="7" name="MSIP_Label_a9e46280-7c6c-48e1-a256-f27a932e76ee_ActionId">
    <vt:lpwstr>f10a19ad-7c99-4f07-8b59-01077525315b</vt:lpwstr>
  </property>
  <property fmtid="{D5CDD505-2E9C-101B-9397-08002B2CF9AE}" pid="8" name="MSIP_Label_a9e46280-7c6c-48e1-a256-f27a932e76ee_ContentBits">
    <vt:lpwstr>0</vt:lpwstr>
  </property>
  <property fmtid="{D5CDD505-2E9C-101B-9397-08002B2CF9AE}" pid="9" name="MSIP_Label_a9e46280-7c6c-48e1-a256-f27a932e76ee_Tag">
    <vt:lpwstr>10, 3, 0, 1</vt:lpwstr>
  </property>
</Properties>
</file>